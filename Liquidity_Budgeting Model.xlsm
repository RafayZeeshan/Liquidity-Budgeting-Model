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2.xml" ContentType="application/vnd.openxmlformats-officedocument.drawing+xml"/>
  <Override PartName="/xl/drawings/drawing3.xml" ContentType="application/vnd.openxmlformats-officedocument.drawing+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4.xml" ContentType="application/vnd.openxmlformats-officedocument.drawing+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130" codeName="{AE6600E7-7A62-396C-DE95-9942FA9DD81E}"/>
  <workbookPr codeName="ThisWorkbook" defaultThemeVersion="166925"/>
  <mc:AlternateContent xmlns:mc="http://schemas.openxmlformats.org/markup-compatibility/2006">
    <mc:Choice Requires="x15">
      <x15ac:absPath xmlns:x15ac="http://schemas.microsoft.com/office/spreadsheetml/2010/11/ac" url="C:\Users\Rafay Zeeshan\Documents\LUT\inv analysis\homework 4\"/>
    </mc:Choice>
  </mc:AlternateContent>
  <xr:revisionPtr revIDLastSave="0" documentId="13_ncr:1_{3F22D320-A01C-40FE-9F84-BB7058CB3108}" xr6:coauthVersionLast="47" xr6:coauthVersionMax="47" xr10:uidLastSave="{00000000-0000-0000-0000-000000000000}"/>
  <bookViews>
    <workbookView xWindow="-98" yWindow="-98" windowWidth="20715" windowHeight="13155" tabRatio="418" activeTab="1" xr2:uid="{BBDB8AC5-2875-4A32-BE56-EC6942DE96F7}"/>
  </bookViews>
  <sheets>
    <sheet name="EXCEL_SCENARIOS" sheetId="10" r:id="rId1"/>
    <sheet name="SCENARIO RIBBON" sheetId="11" r:id="rId2"/>
    <sheet name="BREAKEVEN REPORT" sheetId="15" r:id="rId3"/>
    <sheet name="BREAKEVEN ANALYSIS" sheetId="12" r:id="rId4"/>
    <sheet name="ORIGINAL" sheetId="3" r:id="rId5"/>
    <sheet name="report" sheetId="16" r:id="rId6"/>
  </sheets>
  <definedNames>
    <definedName name="APT1START" localSheetId="3">'BREAKEVEN ANALYSIS'!$B$15</definedName>
    <definedName name="APT1START" localSheetId="1">'SCENARIO RIBBON'!$B$15</definedName>
    <definedName name="APT1START">ORIGINAL!$B$15</definedName>
    <definedName name="APT2START" localSheetId="3">'BREAKEVEN ANALYSIS'!$B$27</definedName>
    <definedName name="APT2START" localSheetId="1">'SCENARIO RIBBON'!$B$27</definedName>
    <definedName name="APT2START">ORIGINAL!$B$27</definedName>
    <definedName name="APT3START" localSheetId="3">'BREAKEVEN ANALYSIS'!$B$36</definedName>
    <definedName name="APT3START" localSheetId="1">'SCENARIO RIBBON'!$B$36</definedName>
    <definedName name="APT3START">ORIGINAL!$B$36</definedName>
    <definedName name="BANKC" localSheetId="3">'BREAKEVEN ANALYSIS'!$B$48</definedName>
    <definedName name="BANKC" localSheetId="1">'SCENARIO RIBBON'!$B$48</definedName>
    <definedName name="BANKC">ORIGINAL!$B$48</definedName>
    <definedName name="BANKC1" localSheetId="3">'BREAKEVEN ANALYSIS'!$B$48</definedName>
    <definedName name="BANKC1" localSheetId="1">'SCENARIO RIBBON'!$B$48</definedName>
    <definedName name="BANKC1">ORIGINAL!$B$48</definedName>
    <definedName name="BCTIME" localSheetId="3">'BREAKEVEN ANALYSIS'!$B$47</definedName>
    <definedName name="BCTIME" localSheetId="1">'SCENARIO RIBBON'!$B$47</definedName>
    <definedName name="BCTIME">ORIGINAL!$B$47</definedName>
    <definedName name="BKCOST" localSheetId="3">'BREAKEVEN ANALYSIS'!$B$54</definedName>
    <definedName name="BKCOST" localSheetId="1">'SCENARIO RIBBON'!$B$54</definedName>
    <definedName name="BKCOST">ORIGINAL!$B$54</definedName>
    <definedName name="BKTIME" localSheetId="3">'BREAKEVEN ANALYSIS'!$B$53</definedName>
    <definedName name="BKTIME" localSheetId="1">'SCENARIO RIBBON'!$B$53</definedName>
    <definedName name="BKTIME">ORIGINAL!$B$53</definedName>
    <definedName name="INSUR" localSheetId="3">'BREAKEVEN ANALYSIS'!$B$63</definedName>
    <definedName name="INSUR" localSheetId="1">'SCENARIO RIBBON'!$B$63</definedName>
    <definedName name="INSUR">ORIGINAL!$B$63</definedName>
    <definedName name="INSURTIME" localSheetId="3">'BREAKEVEN ANALYSIS'!$B$62</definedName>
    <definedName name="INSURTIME" localSheetId="1">'SCENARIO RIBBON'!$B$62</definedName>
    <definedName name="INSURTIME">ORIGINAL!$B$62</definedName>
    <definedName name="MAINT1" localSheetId="3">'BREAKEVEN ANALYSIS'!$B$24</definedName>
    <definedName name="MAINT1" localSheetId="1">'SCENARIO RIBBON'!$B$24</definedName>
    <definedName name="MAINT1">ORIGINAL!$B$24</definedName>
    <definedName name="MAINT3" localSheetId="3">'BREAKEVEN ANALYSIS'!$B$45</definedName>
    <definedName name="MAINT3" localSheetId="1">'SCENARIO RIBBON'!$B$45</definedName>
    <definedName name="MAINT3">ORIGINAL!$B$45</definedName>
    <definedName name="MAINTSTART" localSheetId="3">'BREAKEVEN ANALYSIS'!$B$43</definedName>
    <definedName name="MAINTSTART" localSheetId="1">'SCENARIO RIBBON'!$B$43</definedName>
    <definedName name="MAINTSTART">ORIGINAL!$B$43</definedName>
    <definedName name="MIANTTIME3" localSheetId="3">'BREAKEVEN ANALYSIS'!$B$44</definedName>
    <definedName name="MIANTTIME3" localSheetId="1">'SCENARIO RIBBON'!$B$44</definedName>
    <definedName name="MIANTTIME3">ORIGINAL!$B$44</definedName>
    <definedName name="MISC" localSheetId="3">'BREAKEVEN ANALYSIS'!$B$51</definedName>
    <definedName name="MISC" localSheetId="1">'SCENARIO RIBBON'!$B$51</definedName>
    <definedName name="MISC">ORIGINAL!$B$51</definedName>
    <definedName name="MISC1" localSheetId="3">'BREAKEVEN ANALYSIS'!$B$51</definedName>
    <definedName name="MISC1" localSheetId="1">'SCENARIO RIBBON'!$B$51</definedName>
    <definedName name="MISC1">ORIGINAL!$B$51</definedName>
    <definedName name="MISCTIME" localSheetId="3">'BREAKEVEN ANALYSIS'!$B$50</definedName>
    <definedName name="MISCTIME" localSheetId="1">'SCENARIO RIBBON'!$B$50</definedName>
    <definedName name="MISCTIME">ORIGINAL!$B$50</definedName>
    <definedName name="_xlnm.Print_Area" localSheetId="5">report!$A$1:$O$50</definedName>
    <definedName name="QMISC" localSheetId="3">'BREAKEVEN ANALYSIS'!$B$59</definedName>
    <definedName name="QMISC" localSheetId="1">'SCENARIO RIBBON'!$B$59</definedName>
    <definedName name="QMISC">ORIGINAL!$B$59</definedName>
    <definedName name="RCVTIME" localSheetId="3">'BREAKEVEN ANALYSIS'!$B$65</definedName>
    <definedName name="RCVTIME" localSheetId="1">'SCENARIO RIBBON'!$B$65</definedName>
    <definedName name="RCVTIME">ORIGINAL!$B$65</definedName>
    <definedName name="RENT1" localSheetId="3">'BREAKEVEN ANALYSIS'!$B$16</definedName>
    <definedName name="RENT1" localSheetId="1">'SCENARIO RIBBON'!$B$16</definedName>
    <definedName name="RENT1">ORIGINAL!$B$16</definedName>
    <definedName name="RENT2" localSheetId="3">'BREAKEVEN ANALYSIS'!$B$28</definedName>
    <definedName name="RENT2" localSheetId="1">'SCENARIO RIBBON'!$B$28</definedName>
    <definedName name="RENT2">ORIGINAL!$B$28</definedName>
    <definedName name="RENT3" localSheetId="3">'BREAKEVEN ANALYSIS'!$B$37</definedName>
    <definedName name="RENT3" localSheetId="1">'SCENARIO RIBBON'!$B$37</definedName>
    <definedName name="RENT3">ORIGINAL!$B$37</definedName>
    <definedName name="RENTRCVD" localSheetId="3">'BREAKEVEN ANALYSIS'!$B$66</definedName>
    <definedName name="RENTRCVD" localSheetId="1">'SCENARIO RIBBON'!$B$66</definedName>
    <definedName name="RENTRCVD">ORIGINAL!$B$66</definedName>
    <definedName name="SC" localSheetId="3">'BREAKEVEN ANALYSIS'!$W$13:$AA$18</definedName>
    <definedName name="SC" localSheetId="1">'SCENARIO RIBBON'!$U$13:$Y$18</definedName>
    <definedName name="SC">ORIGINAL!$U$13:$Y$18</definedName>
    <definedName name="solver_adj" localSheetId="3" hidden="1">'BREAKEVEN ANALYSIS'!$D$16,'BREAKEVEN ANALYSIS'!$D$28,'BREAKEVEN ANALYSIS'!$D$37</definedName>
    <definedName name="solver_cvg" localSheetId="3" hidden="1">0.0001</definedName>
    <definedName name="solver_drv" localSheetId="3" hidden="1">1</definedName>
    <definedName name="solver_eng" localSheetId="3" hidden="1">1</definedName>
    <definedName name="solver_est" localSheetId="3" hidden="1">1</definedName>
    <definedName name="solver_itr" localSheetId="3" hidden="1">2147483647</definedName>
    <definedName name="solver_mip" localSheetId="3" hidden="1">2147483647</definedName>
    <definedName name="solver_mni" localSheetId="3" hidden="1">30</definedName>
    <definedName name="solver_mrt" localSheetId="3" hidden="1">0.075</definedName>
    <definedName name="solver_msl" localSheetId="3" hidden="1">2</definedName>
    <definedName name="solver_neg" localSheetId="3" hidden="1">1</definedName>
    <definedName name="solver_nod" localSheetId="3" hidden="1">2147483647</definedName>
    <definedName name="solver_num" localSheetId="3" hidden="1">0</definedName>
    <definedName name="solver_nwt" localSheetId="3" hidden="1">1</definedName>
    <definedName name="solver_opt" localSheetId="3" hidden="1">'BREAKEVEN ANALYSIS'!$U$51</definedName>
    <definedName name="solver_pre" localSheetId="3" hidden="1">0.000001</definedName>
    <definedName name="solver_rbv" localSheetId="3" hidden="1">1</definedName>
    <definedName name="solver_rlx" localSheetId="3" hidden="1">2</definedName>
    <definedName name="solver_rsd" localSheetId="3" hidden="1">0</definedName>
    <definedName name="solver_scl" localSheetId="3" hidden="1">1</definedName>
    <definedName name="solver_sho" localSheetId="3" hidden="1">2</definedName>
    <definedName name="solver_ssz" localSheetId="3" hidden="1">100</definedName>
    <definedName name="solver_tim" localSheetId="3" hidden="1">2147483647</definedName>
    <definedName name="solver_tol" localSheetId="3" hidden="1">0.01</definedName>
    <definedName name="solver_typ" localSheetId="3" hidden="1">3</definedName>
    <definedName name="solver_val" localSheetId="3" hidden="1">0</definedName>
    <definedName name="solver_ver" localSheetId="3" hidden="1">3</definedName>
    <definedName name="TAX" localSheetId="3">'BREAKEVEN ANALYSIS'!$B$57</definedName>
    <definedName name="TAX" localSheetId="1">'SCENARIO RIBBON'!$B$57</definedName>
    <definedName name="TAX">ORIGINAL!$B$57</definedName>
    <definedName name="TAXTIME" localSheetId="3">'BREAKEVEN ANALYSIS'!$B$56</definedName>
    <definedName name="TAXTIME" localSheetId="1">'SCENARIO RIBBON'!$B$56</definedName>
    <definedName name="TAXTIME">ORIGINAL!$B$56</definedName>
    <definedName name="TOTAL_INSERTED" localSheetId="3">'BREAKEVEN ANALYSIS'!$U$51</definedName>
    <definedName name="TOTAL_INSERTED" localSheetId="1">'SCENARIO RIBBON'!$S$51</definedName>
    <definedName name="TOTAL_INSERTED">ORIGINAL!$S$51</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37" i="12" l="1"/>
  <c r="B28" i="12"/>
  <c r="B16" i="12"/>
  <c r="I49" i="12"/>
  <c r="T42" i="12"/>
  <c r="Q42" i="12"/>
  <c r="N42" i="12"/>
  <c r="K42" i="12"/>
  <c r="T32" i="12"/>
  <c r="S32" i="12"/>
  <c r="R32" i="12"/>
  <c r="Q32" i="12"/>
  <c r="P32" i="12"/>
  <c r="O32" i="12"/>
  <c r="N32" i="12"/>
  <c r="M32" i="12"/>
  <c r="L32" i="12"/>
  <c r="K32" i="12"/>
  <c r="J32" i="12"/>
  <c r="I32" i="12"/>
  <c r="T31" i="12"/>
  <c r="S31" i="12"/>
  <c r="R31" i="12"/>
  <c r="Q31" i="12"/>
  <c r="P31" i="12"/>
  <c r="O31" i="12"/>
  <c r="N31" i="12"/>
  <c r="M31" i="12"/>
  <c r="L31" i="12"/>
  <c r="K31" i="12"/>
  <c r="J31" i="12"/>
  <c r="I31" i="12"/>
  <c r="T25" i="12"/>
  <c r="S25" i="12"/>
  <c r="R25" i="12"/>
  <c r="Q25" i="12"/>
  <c r="P25" i="12"/>
  <c r="O25" i="12"/>
  <c r="N25" i="12"/>
  <c r="M25" i="12"/>
  <c r="L25" i="12"/>
  <c r="K25" i="12"/>
  <c r="J25" i="12"/>
  <c r="I25" i="12"/>
  <c r="T19" i="12"/>
  <c r="S19" i="12"/>
  <c r="R19" i="12"/>
  <c r="Q19" i="12"/>
  <c r="P19" i="12"/>
  <c r="O19" i="12"/>
  <c r="N19" i="12"/>
  <c r="M19" i="12"/>
  <c r="L19" i="12"/>
  <c r="K19" i="12"/>
  <c r="J19" i="12"/>
  <c r="I19" i="12"/>
  <c r="T18" i="12"/>
  <c r="S18" i="12"/>
  <c r="R18" i="12"/>
  <c r="Q18" i="12"/>
  <c r="P18" i="12"/>
  <c r="O18" i="12"/>
  <c r="N18" i="12"/>
  <c r="M18" i="12"/>
  <c r="L18" i="12"/>
  <c r="K18" i="12"/>
  <c r="J18" i="12"/>
  <c r="I18" i="12"/>
  <c r="T14" i="12"/>
  <c r="T44" i="12" s="1"/>
  <c r="S14" i="12"/>
  <c r="S44" i="12" s="1"/>
  <c r="R14" i="12"/>
  <c r="R43" i="12" s="1"/>
  <c r="Q14" i="12"/>
  <c r="Q43" i="12" s="1"/>
  <c r="P14" i="12"/>
  <c r="P43" i="12" s="1"/>
  <c r="O14" i="12"/>
  <c r="O44" i="12" s="1"/>
  <c r="N14" i="12"/>
  <c r="N44" i="12" s="1"/>
  <c r="M14" i="12"/>
  <c r="M44" i="12" s="1"/>
  <c r="L14" i="12"/>
  <c r="L44" i="12" s="1"/>
  <c r="K14" i="12"/>
  <c r="K44" i="12" s="1"/>
  <c r="J14" i="12"/>
  <c r="J43" i="12" s="1"/>
  <c r="I14" i="12"/>
  <c r="I43" i="12" s="1"/>
  <c r="B43" i="11"/>
  <c r="B36" i="11"/>
  <c r="B44" i="11"/>
  <c r="G49" i="11"/>
  <c r="Q43" i="11"/>
  <c r="I43" i="11"/>
  <c r="R42" i="11"/>
  <c r="O42" i="11"/>
  <c r="L42" i="11"/>
  <c r="I42" i="11"/>
  <c r="Q41" i="11"/>
  <c r="I41" i="11"/>
  <c r="R32" i="11"/>
  <c r="Q32" i="11"/>
  <c r="P32" i="11"/>
  <c r="O32" i="11"/>
  <c r="N32" i="11"/>
  <c r="M32" i="11"/>
  <c r="L32" i="11"/>
  <c r="K32" i="11"/>
  <c r="J32" i="11"/>
  <c r="I32" i="11"/>
  <c r="H32" i="11"/>
  <c r="G32" i="11"/>
  <c r="R31" i="11"/>
  <c r="Q31" i="11"/>
  <c r="P31" i="11"/>
  <c r="O31" i="11"/>
  <c r="N31" i="11"/>
  <c r="M31" i="11"/>
  <c r="L31" i="11"/>
  <c r="K31" i="11"/>
  <c r="J31" i="11"/>
  <c r="I31" i="11"/>
  <c r="H31" i="11"/>
  <c r="G31" i="11"/>
  <c r="R25" i="11"/>
  <c r="Q25" i="11"/>
  <c r="P25" i="11"/>
  <c r="O25" i="11"/>
  <c r="N25" i="11"/>
  <c r="M25" i="11"/>
  <c r="L25" i="11"/>
  <c r="K25" i="11"/>
  <c r="J25" i="11"/>
  <c r="I25" i="11"/>
  <c r="H25" i="11"/>
  <c r="G25" i="11"/>
  <c r="Q21" i="11"/>
  <c r="I21" i="11"/>
  <c r="R19" i="11"/>
  <c r="Q19" i="11"/>
  <c r="P19" i="11"/>
  <c r="O19" i="11"/>
  <c r="N19" i="11"/>
  <c r="M19" i="11"/>
  <c r="L19" i="11"/>
  <c r="K19" i="11"/>
  <c r="J19" i="11"/>
  <c r="I19" i="11"/>
  <c r="H19" i="11"/>
  <c r="G19" i="11"/>
  <c r="R18" i="11"/>
  <c r="Q18" i="11"/>
  <c r="P18" i="11"/>
  <c r="O18" i="11"/>
  <c r="N18" i="11"/>
  <c r="M18" i="11"/>
  <c r="L18" i="11"/>
  <c r="K18" i="11"/>
  <c r="J18" i="11"/>
  <c r="I18" i="11"/>
  <c r="H18" i="11"/>
  <c r="G18" i="11"/>
  <c r="R14" i="11"/>
  <c r="R44" i="11" s="1"/>
  <c r="Q14" i="11"/>
  <c r="Q44" i="11" s="1"/>
  <c r="P14" i="11"/>
  <c r="P43" i="11" s="1"/>
  <c r="O14" i="11"/>
  <c r="O43" i="11" s="1"/>
  <c r="N14" i="11"/>
  <c r="N43" i="11" s="1"/>
  <c r="M14" i="11"/>
  <c r="M40" i="11" s="1"/>
  <c r="L14" i="11"/>
  <c r="L44" i="11" s="1"/>
  <c r="K14" i="11"/>
  <c r="K44" i="11" s="1"/>
  <c r="J14" i="11"/>
  <c r="J44" i="11" s="1"/>
  <c r="I14" i="11"/>
  <c r="I44" i="11" s="1"/>
  <c r="H14" i="11"/>
  <c r="H43" i="11" s="1"/>
  <c r="G14" i="11"/>
  <c r="G43" i="11" s="1"/>
  <c r="G49" i="3"/>
  <c r="K21" i="12" l="1"/>
  <c r="S21" i="12"/>
  <c r="K43" i="12"/>
  <c r="S43" i="12"/>
  <c r="K41" i="12"/>
  <c r="S41" i="12"/>
  <c r="L21" i="12"/>
  <c r="T21" i="12"/>
  <c r="P40" i="12"/>
  <c r="L41" i="12"/>
  <c r="T41" i="12"/>
  <c r="L43" i="12"/>
  <c r="T43" i="12"/>
  <c r="P44" i="12"/>
  <c r="M21" i="12"/>
  <c r="I22" i="12"/>
  <c r="I28" i="12"/>
  <c r="I34" i="12"/>
  <c r="I35" i="12" s="1"/>
  <c r="I36" i="12"/>
  <c r="I38" i="12"/>
  <c r="I39" i="12" s="1"/>
  <c r="I40" i="12"/>
  <c r="Q40" i="12"/>
  <c r="M41" i="12"/>
  <c r="M43" i="12"/>
  <c r="I44" i="12"/>
  <c r="Q44" i="12"/>
  <c r="N21" i="12"/>
  <c r="J34" i="12"/>
  <c r="J35" i="12" s="1"/>
  <c r="J40" i="12"/>
  <c r="R40" i="12"/>
  <c r="N41" i="12"/>
  <c r="N43" i="12"/>
  <c r="J44" i="12"/>
  <c r="R44" i="12"/>
  <c r="O40" i="12"/>
  <c r="O21" i="12"/>
  <c r="K40" i="12"/>
  <c r="S40" i="12"/>
  <c r="O41" i="12"/>
  <c r="O43" i="12"/>
  <c r="P21" i="12"/>
  <c r="L40" i="12"/>
  <c r="T40" i="12"/>
  <c r="P41" i="12"/>
  <c r="I15" i="12"/>
  <c r="I21" i="12"/>
  <c r="Q21" i="12"/>
  <c r="M40" i="12"/>
  <c r="I41" i="12"/>
  <c r="Q41" i="12"/>
  <c r="J21" i="12"/>
  <c r="R21" i="12"/>
  <c r="N40" i="12"/>
  <c r="J41" i="12"/>
  <c r="R41" i="12"/>
  <c r="M44" i="11"/>
  <c r="J21" i="11"/>
  <c r="R21" i="11"/>
  <c r="N40" i="11"/>
  <c r="J41" i="11"/>
  <c r="R41" i="11"/>
  <c r="J43" i="11"/>
  <c r="R43" i="11"/>
  <c r="N44" i="11"/>
  <c r="K21" i="11"/>
  <c r="G22" i="11"/>
  <c r="G28" i="11"/>
  <c r="G34" i="11"/>
  <c r="G35" i="11" s="1"/>
  <c r="G36" i="11"/>
  <c r="G38" i="11"/>
  <c r="G39" i="11" s="1"/>
  <c r="G40" i="11"/>
  <c r="O40" i="11"/>
  <c r="K41" i="11"/>
  <c r="K43" i="11"/>
  <c r="G44" i="11"/>
  <c r="R50" i="11" s="1"/>
  <c r="O44" i="11"/>
  <c r="L21" i="11"/>
  <c r="H40" i="11"/>
  <c r="P40" i="11"/>
  <c r="L41" i="11"/>
  <c r="L43" i="11"/>
  <c r="H44" i="11"/>
  <c r="P44" i="11"/>
  <c r="M21" i="11"/>
  <c r="I40" i="11"/>
  <c r="Q40" i="11"/>
  <c r="M41" i="11"/>
  <c r="M43" i="11"/>
  <c r="N21" i="11"/>
  <c r="J40" i="11"/>
  <c r="R40" i="11"/>
  <c r="N41" i="11"/>
  <c r="G15" i="11"/>
  <c r="G21" i="11"/>
  <c r="O21" i="11"/>
  <c r="K40" i="11"/>
  <c r="G41" i="11"/>
  <c r="O41" i="11"/>
  <c r="H21" i="11"/>
  <c r="P21" i="11"/>
  <c r="L40" i="11"/>
  <c r="H41" i="11"/>
  <c r="P41" i="11"/>
  <c r="I37" i="12" l="1"/>
  <c r="J38" i="12"/>
  <c r="J39" i="12" s="1"/>
  <c r="J36" i="12"/>
  <c r="K34" i="12"/>
  <c r="T50" i="12"/>
  <c r="J15" i="12"/>
  <c r="I17" i="12"/>
  <c r="I20" i="12"/>
  <c r="I16" i="12"/>
  <c r="I33" i="12"/>
  <c r="I29" i="12"/>
  <c r="J28" i="12"/>
  <c r="I30" i="12"/>
  <c r="I27" i="12"/>
  <c r="I23" i="12"/>
  <c r="J22" i="12"/>
  <c r="I26" i="12"/>
  <c r="I24" i="12"/>
  <c r="H34" i="11"/>
  <c r="G33" i="11"/>
  <c r="G29" i="11"/>
  <c r="H28" i="11"/>
  <c r="G30" i="11"/>
  <c r="H15" i="11"/>
  <c r="G17" i="11"/>
  <c r="G20" i="11"/>
  <c r="G16" i="11"/>
  <c r="G37" i="11"/>
  <c r="H38" i="11"/>
  <c r="H39" i="11" s="1"/>
  <c r="H36" i="11"/>
  <c r="G27" i="11"/>
  <c r="G23" i="11"/>
  <c r="H22" i="11"/>
  <c r="G26" i="11"/>
  <c r="G24" i="11"/>
  <c r="I45" i="12" l="1"/>
  <c r="J37" i="12"/>
  <c r="K38" i="12"/>
  <c r="K39" i="12" s="1"/>
  <c r="K36" i="12"/>
  <c r="J27" i="12"/>
  <c r="J23" i="12"/>
  <c r="K22" i="12"/>
  <c r="J26" i="12"/>
  <c r="J24" i="12"/>
  <c r="J17" i="12"/>
  <c r="K15" i="12"/>
  <c r="J20" i="12"/>
  <c r="J16" i="12"/>
  <c r="J33" i="12"/>
  <c r="J29" i="12"/>
  <c r="K28" i="12"/>
  <c r="J30" i="12"/>
  <c r="K35" i="12"/>
  <c r="L34" i="12"/>
  <c r="G45" i="11"/>
  <c r="H27" i="11"/>
  <c r="H23" i="11"/>
  <c r="I22" i="11"/>
  <c r="H26" i="11"/>
  <c r="H24" i="11"/>
  <c r="H35" i="11"/>
  <c r="I34" i="11"/>
  <c r="H17" i="11"/>
  <c r="H20" i="11"/>
  <c r="H16" i="11"/>
  <c r="I15" i="11"/>
  <c r="H37" i="11"/>
  <c r="I38" i="11"/>
  <c r="I39" i="11" s="1"/>
  <c r="I36" i="11"/>
  <c r="H33" i="11"/>
  <c r="H29" i="11"/>
  <c r="I28" i="11"/>
  <c r="H30" i="11"/>
  <c r="K29" i="12" l="1"/>
  <c r="L28" i="12"/>
  <c r="K30" i="12"/>
  <c r="K33" i="12"/>
  <c r="L22" i="12"/>
  <c r="K23" i="12"/>
  <c r="K26" i="12"/>
  <c r="K24" i="12"/>
  <c r="K27" i="12"/>
  <c r="J45" i="12"/>
  <c r="K37" i="12"/>
  <c r="L38" i="12"/>
  <c r="L39" i="12" s="1"/>
  <c r="L36" i="12"/>
  <c r="L35" i="12"/>
  <c r="M34" i="12"/>
  <c r="K17" i="12"/>
  <c r="K20" i="12"/>
  <c r="K16" i="12"/>
  <c r="L15" i="12"/>
  <c r="I51" i="12"/>
  <c r="I50" i="12"/>
  <c r="H45" i="11"/>
  <c r="H50" i="11" s="1"/>
  <c r="I35" i="11"/>
  <c r="J34" i="11"/>
  <c r="I37" i="11"/>
  <c r="J38" i="11"/>
  <c r="J39" i="11" s="1"/>
  <c r="J36" i="11"/>
  <c r="I33" i="11"/>
  <c r="J28" i="11"/>
  <c r="I30" i="11"/>
  <c r="I29" i="11"/>
  <c r="G51" i="11"/>
  <c r="G50" i="11"/>
  <c r="I17" i="11"/>
  <c r="I20" i="11"/>
  <c r="I16" i="11"/>
  <c r="J15" i="11"/>
  <c r="I27" i="11"/>
  <c r="J22" i="11"/>
  <c r="I26" i="11"/>
  <c r="I24" i="11"/>
  <c r="I23" i="11"/>
  <c r="J51" i="12" l="1"/>
  <c r="I52" i="12"/>
  <c r="J50" i="12"/>
  <c r="M28" i="12"/>
  <c r="L30" i="12"/>
  <c r="L33" i="12"/>
  <c r="L29" i="12"/>
  <c r="M35" i="12"/>
  <c r="N34" i="12"/>
  <c r="K45" i="12"/>
  <c r="L20" i="12"/>
  <c r="L16" i="12"/>
  <c r="M15" i="12"/>
  <c r="L17" i="12"/>
  <c r="M38" i="12"/>
  <c r="M39" i="12" s="1"/>
  <c r="M36" i="12"/>
  <c r="L37" i="12"/>
  <c r="M22" i="12"/>
  <c r="L26" i="12"/>
  <c r="L24" i="12"/>
  <c r="L27" i="12"/>
  <c r="L23" i="12"/>
  <c r="G52" i="11"/>
  <c r="H51" i="11"/>
  <c r="H52" i="11" s="1"/>
  <c r="I45" i="11"/>
  <c r="I51" i="11" s="1"/>
  <c r="K28" i="11"/>
  <c r="J30" i="11"/>
  <c r="J33" i="11"/>
  <c r="J29" i="11"/>
  <c r="K38" i="11"/>
  <c r="K39" i="11" s="1"/>
  <c r="K36" i="11"/>
  <c r="J37" i="11"/>
  <c r="K22" i="11"/>
  <c r="J26" i="11"/>
  <c r="J24" i="11"/>
  <c r="J27" i="11"/>
  <c r="J23" i="11"/>
  <c r="J35" i="11"/>
  <c r="K34" i="11"/>
  <c r="J20" i="11"/>
  <c r="J16" i="11"/>
  <c r="K15" i="11"/>
  <c r="J17" i="11"/>
  <c r="J52" i="12" l="1"/>
  <c r="N28" i="12"/>
  <c r="M30" i="12"/>
  <c r="M33" i="12"/>
  <c r="M29" i="12"/>
  <c r="N22" i="12"/>
  <c r="M26" i="12"/>
  <c r="M24" i="12"/>
  <c r="M27" i="12"/>
  <c r="M23" i="12"/>
  <c r="L45" i="12"/>
  <c r="K51" i="12"/>
  <c r="M20" i="12"/>
  <c r="M16" i="12"/>
  <c r="N15" i="12"/>
  <c r="M17" i="12"/>
  <c r="N38" i="12"/>
  <c r="N39" i="12" s="1"/>
  <c r="N36" i="12"/>
  <c r="M37" i="12"/>
  <c r="K50" i="12"/>
  <c r="N35" i="12"/>
  <c r="O34" i="12"/>
  <c r="I50" i="11"/>
  <c r="I52" i="11" s="1"/>
  <c r="J45" i="11"/>
  <c r="L28" i="11"/>
  <c r="K30" i="11"/>
  <c r="K33" i="11"/>
  <c r="K29" i="11"/>
  <c r="K35" i="11"/>
  <c r="L34" i="11"/>
  <c r="L38" i="11"/>
  <c r="L39" i="11" s="1"/>
  <c r="L36" i="11"/>
  <c r="K37" i="11"/>
  <c r="L22" i="11"/>
  <c r="K26" i="11"/>
  <c r="K24" i="11"/>
  <c r="K27" i="11"/>
  <c r="K23" i="11"/>
  <c r="K20" i="11"/>
  <c r="K16" i="11"/>
  <c r="L15" i="11"/>
  <c r="K17" i="11"/>
  <c r="L50" i="12" l="1"/>
  <c r="O38" i="12"/>
  <c r="O39" i="12" s="1"/>
  <c r="O36" i="12"/>
  <c r="N37" i="12"/>
  <c r="N30" i="12"/>
  <c r="N33" i="12"/>
  <c r="N29" i="12"/>
  <c r="O28" i="12"/>
  <c r="N20" i="12"/>
  <c r="N16" i="12"/>
  <c r="O15" i="12"/>
  <c r="N17" i="12"/>
  <c r="L51" i="12"/>
  <c r="M45" i="12"/>
  <c r="O35" i="12"/>
  <c r="P34" i="12"/>
  <c r="N26" i="12"/>
  <c r="N24" i="12"/>
  <c r="O22" i="12"/>
  <c r="N27" i="12"/>
  <c r="N23" i="12"/>
  <c r="K52" i="12"/>
  <c r="J51" i="11"/>
  <c r="J50" i="11"/>
  <c r="L30" i="11"/>
  <c r="M28" i="11"/>
  <c r="L33" i="11"/>
  <c r="L29" i="11"/>
  <c r="L35" i="11"/>
  <c r="M34" i="11"/>
  <c r="L20" i="11"/>
  <c r="L16" i="11"/>
  <c r="M15" i="11"/>
  <c r="L17" i="11"/>
  <c r="L26" i="11"/>
  <c r="L24" i="11"/>
  <c r="L27" i="11"/>
  <c r="L23" i="11"/>
  <c r="M22" i="11"/>
  <c r="K45" i="11"/>
  <c r="M38" i="11"/>
  <c r="M39" i="11" s="1"/>
  <c r="M36" i="11"/>
  <c r="L37" i="11"/>
  <c r="L52" i="12" l="1"/>
  <c r="N45" i="12"/>
  <c r="O26" i="12"/>
  <c r="O24" i="12"/>
  <c r="O27" i="12"/>
  <c r="O23" i="12"/>
  <c r="P22" i="12"/>
  <c r="O33" i="12"/>
  <c r="O29" i="12"/>
  <c r="P28" i="12"/>
  <c r="O30" i="12"/>
  <c r="P35" i="12"/>
  <c r="Q34" i="12"/>
  <c r="M51" i="12"/>
  <c r="M50" i="12"/>
  <c r="O16" i="12"/>
  <c r="P15" i="12"/>
  <c r="O20" i="12"/>
  <c r="O17" i="12"/>
  <c r="O37" i="12"/>
  <c r="P38" i="12"/>
  <c r="P39" i="12" s="1"/>
  <c r="P36" i="12"/>
  <c r="J52" i="11"/>
  <c r="M30" i="11"/>
  <c r="M33" i="11"/>
  <c r="M29" i="11"/>
  <c r="N28" i="11"/>
  <c r="M20" i="11"/>
  <c r="M16" i="11"/>
  <c r="N15" i="11"/>
  <c r="M17" i="11"/>
  <c r="K51" i="11"/>
  <c r="K50" i="11"/>
  <c r="L45" i="11"/>
  <c r="M24" i="11"/>
  <c r="M26" i="11"/>
  <c r="M27" i="11"/>
  <c r="M23" i="11"/>
  <c r="N22" i="11"/>
  <c r="M37" i="11"/>
  <c r="N38" i="11"/>
  <c r="N39" i="11" s="1"/>
  <c r="N36" i="11"/>
  <c r="M35" i="11"/>
  <c r="N34" i="11"/>
  <c r="P27" i="12" l="1"/>
  <c r="P23" i="12"/>
  <c r="Q22" i="12"/>
  <c r="P26" i="12"/>
  <c r="P24" i="12"/>
  <c r="Q35" i="12"/>
  <c r="R34" i="12"/>
  <c r="P33" i="12"/>
  <c r="P29" i="12"/>
  <c r="Q28" i="12"/>
  <c r="P30" i="12"/>
  <c r="M52" i="12"/>
  <c r="P37" i="12"/>
  <c r="Q38" i="12"/>
  <c r="Q39" i="12" s="1"/>
  <c r="Q36" i="12"/>
  <c r="Q15" i="12"/>
  <c r="P17" i="12"/>
  <c r="P20" i="12"/>
  <c r="P16" i="12"/>
  <c r="N51" i="12"/>
  <c r="N50" i="12"/>
  <c r="O45" i="12"/>
  <c r="L51" i="11"/>
  <c r="N37" i="11"/>
  <c r="O38" i="11"/>
  <c r="O39" i="11" s="1"/>
  <c r="O36" i="11"/>
  <c r="O15" i="11"/>
  <c r="N17" i="11"/>
  <c r="N20" i="11"/>
  <c r="N16" i="11"/>
  <c r="N35" i="11"/>
  <c r="O34" i="11"/>
  <c r="N27" i="11"/>
  <c r="N23" i="11"/>
  <c r="O22" i="11"/>
  <c r="N26" i="11"/>
  <c r="N24" i="11"/>
  <c r="K52" i="11"/>
  <c r="M45" i="11"/>
  <c r="L50" i="11"/>
  <c r="N33" i="11"/>
  <c r="N29" i="11"/>
  <c r="O28" i="11"/>
  <c r="N30" i="11"/>
  <c r="O51" i="12" l="1"/>
  <c r="O50" i="12"/>
  <c r="R35" i="12"/>
  <c r="S34" i="12"/>
  <c r="P45" i="12"/>
  <c r="Q27" i="12"/>
  <c r="Q23" i="12"/>
  <c r="R22" i="12"/>
  <c r="Q26" i="12"/>
  <c r="Q24" i="12"/>
  <c r="Q37" i="12"/>
  <c r="R38" i="12"/>
  <c r="R39" i="12" s="1"/>
  <c r="R36" i="12"/>
  <c r="Q33" i="12"/>
  <c r="Q29" i="12"/>
  <c r="R28" i="12"/>
  <c r="Q30" i="12"/>
  <c r="N52" i="12"/>
  <c r="R15" i="12"/>
  <c r="Q17" i="12"/>
  <c r="Q20" i="12"/>
  <c r="Q16" i="12"/>
  <c r="L52" i="11"/>
  <c r="O33" i="11"/>
  <c r="O29" i="11"/>
  <c r="P28" i="11"/>
  <c r="O30" i="11"/>
  <c r="O27" i="11"/>
  <c r="O23" i="11"/>
  <c r="P22" i="11"/>
  <c r="O26" i="11"/>
  <c r="O24" i="11"/>
  <c r="P15" i="11"/>
  <c r="O17" i="11"/>
  <c r="O20" i="11"/>
  <c r="O16" i="11"/>
  <c r="O35" i="11"/>
  <c r="P34" i="11"/>
  <c r="O37" i="11"/>
  <c r="P38" i="11"/>
  <c r="P39" i="11" s="1"/>
  <c r="P36" i="11"/>
  <c r="M51" i="11"/>
  <c r="M50" i="11"/>
  <c r="N45" i="11"/>
  <c r="O52" i="12" l="1"/>
  <c r="R33" i="12"/>
  <c r="R29" i="12"/>
  <c r="S28" i="12"/>
  <c r="R30" i="12"/>
  <c r="R27" i="12"/>
  <c r="R23" i="12"/>
  <c r="S22" i="12"/>
  <c r="R26" i="12"/>
  <c r="R24" i="12"/>
  <c r="P51" i="12"/>
  <c r="P50" i="12"/>
  <c r="S35" i="12"/>
  <c r="T34" i="12"/>
  <c r="T35" i="12" s="1"/>
  <c r="Q45" i="12"/>
  <c r="R37" i="12"/>
  <c r="S38" i="12"/>
  <c r="S39" i="12" s="1"/>
  <c r="S36" i="12"/>
  <c r="R17" i="12"/>
  <c r="S15" i="12"/>
  <c r="R20" i="12"/>
  <c r="R16" i="12"/>
  <c r="M52" i="11"/>
  <c r="P35" i="11"/>
  <c r="Q34" i="11"/>
  <c r="P27" i="11"/>
  <c r="P23" i="11"/>
  <c r="Q22" i="11"/>
  <c r="P26" i="11"/>
  <c r="P24" i="11"/>
  <c r="N51" i="11"/>
  <c r="N50" i="11"/>
  <c r="P33" i="11"/>
  <c r="P29" i="11"/>
  <c r="Q28" i="11"/>
  <c r="P30" i="11"/>
  <c r="O45" i="11"/>
  <c r="P37" i="11"/>
  <c r="Q38" i="11"/>
  <c r="Q39" i="11" s="1"/>
  <c r="Q36" i="11"/>
  <c r="P17" i="11"/>
  <c r="P20" i="11"/>
  <c r="P16" i="11"/>
  <c r="Q15" i="11"/>
  <c r="Q51" i="12" l="1"/>
  <c r="Q50" i="12"/>
  <c r="S23" i="12"/>
  <c r="T22" i="12"/>
  <c r="S26" i="12"/>
  <c r="S24" i="12"/>
  <c r="S27" i="12"/>
  <c r="S17" i="12"/>
  <c r="S20" i="12"/>
  <c r="S16" i="12"/>
  <c r="T15" i="12"/>
  <c r="P52" i="12"/>
  <c r="S33" i="12"/>
  <c r="T28" i="12"/>
  <c r="S29" i="12"/>
  <c r="S30" i="12"/>
  <c r="R45" i="12"/>
  <c r="T38" i="12"/>
  <c r="T39" i="12" s="1"/>
  <c r="T36" i="12"/>
  <c r="T37" i="12" s="1"/>
  <c r="S37" i="12"/>
  <c r="N52" i="11"/>
  <c r="O51" i="11"/>
  <c r="O50" i="11"/>
  <c r="Q20" i="11"/>
  <c r="Q16" i="11"/>
  <c r="Q17" i="11"/>
  <c r="R15" i="11"/>
  <c r="Q23" i="11"/>
  <c r="R22" i="11"/>
  <c r="Q26" i="11"/>
  <c r="Q24" i="11"/>
  <c r="Q27" i="11"/>
  <c r="P45" i="11"/>
  <c r="Q33" i="11"/>
  <c r="Q29" i="11"/>
  <c r="R28" i="11"/>
  <c r="Q30" i="11"/>
  <c r="R38" i="11"/>
  <c r="R39" i="11" s="1"/>
  <c r="R36" i="11"/>
  <c r="R37" i="11" s="1"/>
  <c r="Q37" i="11"/>
  <c r="Q35" i="11"/>
  <c r="R34" i="11"/>
  <c r="R35" i="11" s="1"/>
  <c r="G34" i="3"/>
  <c r="G35" i="3" s="1"/>
  <c r="H32" i="3"/>
  <c r="I32" i="3"/>
  <c r="J32" i="3"/>
  <c r="K32" i="3"/>
  <c r="L32" i="3"/>
  <c r="M32" i="3"/>
  <c r="N32" i="3"/>
  <c r="O32" i="3"/>
  <c r="P32" i="3"/>
  <c r="Q32" i="3"/>
  <c r="R32" i="3"/>
  <c r="G32" i="3"/>
  <c r="H19" i="3"/>
  <c r="I19" i="3"/>
  <c r="J19" i="3"/>
  <c r="K19" i="3"/>
  <c r="L19" i="3"/>
  <c r="M19" i="3"/>
  <c r="N19" i="3"/>
  <c r="O19" i="3"/>
  <c r="P19" i="3"/>
  <c r="Q19" i="3"/>
  <c r="R19" i="3"/>
  <c r="G19" i="3"/>
  <c r="R42" i="3"/>
  <c r="O42" i="3"/>
  <c r="L42" i="3"/>
  <c r="I42" i="3"/>
  <c r="H31" i="3"/>
  <c r="I31" i="3"/>
  <c r="J31" i="3"/>
  <c r="K31" i="3"/>
  <c r="L31" i="3"/>
  <c r="M31" i="3"/>
  <c r="N31" i="3"/>
  <c r="O31" i="3"/>
  <c r="P31" i="3"/>
  <c r="Q31" i="3"/>
  <c r="R31" i="3"/>
  <c r="G31" i="3"/>
  <c r="H25" i="3"/>
  <c r="I25" i="3"/>
  <c r="J25" i="3"/>
  <c r="K25" i="3"/>
  <c r="L25" i="3"/>
  <c r="M25" i="3"/>
  <c r="N25" i="3"/>
  <c r="O25" i="3"/>
  <c r="P25" i="3"/>
  <c r="Q25" i="3"/>
  <c r="R25" i="3"/>
  <c r="G25" i="3"/>
  <c r="H18" i="3"/>
  <c r="I18" i="3"/>
  <c r="J18" i="3"/>
  <c r="K18" i="3"/>
  <c r="L18" i="3"/>
  <c r="M18" i="3"/>
  <c r="N18" i="3"/>
  <c r="O18" i="3"/>
  <c r="P18" i="3"/>
  <c r="Q18" i="3"/>
  <c r="R18" i="3"/>
  <c r="G18" i="3"/>
  <c r="H14" i="3"/>
  <c r="H21" i="3" s="1"/>
  <c r="I14" i="3"/>
  <c r="I21" i="3" s="1"/>
  <c r="J14" i="3"/>
  <c r="J21" i="3" s="1"/>
  <c r="K14" i="3"/>
  <c r="K21" i="3" s="1"/>
  <c r="L14" i="3"/>
  <c r="L21" i="3" s="1"/>
  <c r="M14" i="3"/>
  <c r="M21" i="3" s="1"/>
  <c r="N14" i="3"/>
  <c r="N21" i="3" s="1"/>
  <c r="O14" i="3"/>
  <c r="O21" i="3" s="1"/>
  <c r="P14" i="3"/>
  <c r="P21" i="3" s="1"/>
  <c r="Q14" i="3"/>
  <c r="Q21" i="3" s="1"/>
  <c r="R14" i="3"/>
  <c r="R21" i="3" s="1"/>
  <c r="G14" i="3"/>
  <c r="G15" i="3" s="1"/>
  <c r="Q52" i="12" l="1"/>
  <c r="T26" i="12"/>
  <c r="T24" i="12"/>
  <c r="T27" i="12"/>
  <c r="T23" i="12"/>
  <c r="T30" i="12"/>
  <c r="T33" i="12"/>
  <c r="T29" i="12"/>
  <c r="T20" i="12"/>
  <c r="T16" i="12"/>
  <c r="T17" i="12"/>
  <c r="S45" i="12"/>
  <c r="R51" i="12"/>
  <c r="R50" i="12"/>
  <c r="O52" i="11"/>
  <c r="R26" i="11"/>
  <c r="R24" i="11"/>
  <c r="R27" i="11"/>
  <c r="R23" i="11"/>
  <c r="R30" i="11"/>
  <c r="R33" i="11"/>
  <c r="R29" i="11"/>
  <c r="R20" i="11"/>
  <c r="R16" i="11"/>
  <c r="R17" i="11"/>
  <c r="Q45" i="11"/>
  <c r="P51" i="11"/>
  <c r="P50" i="11"/>
  <c r="H34" i="3"/>
  <c r="H35" i="3" s="1"/>
  <c r="O43" i="3"/>
  <c r="R44" i="3"/>
  <c r="J44" i="3"/>
  <c r="N43" i="3"/>
  <c r="Q44" i="3"/>
  <c r="I44" i="3"/>
  <c r="M43" i="3"/>
  <c r="P44" i="3"/>
  <c r="H44" i="3"/>
  <c r="L43" i="3"/>
  <c r="O44" i="3"/>
  <c r="G44" i="3"/>
  <c r="G43" i="3"/>
  <c r="K43" i="3"/>
  <c r="N44" i="3"/>
  <c r="R43" i="3"/>
  <c r="J43" i="3"/>
  <c r="M44" i="3"/>
  <c r="Q43" i="3"/>
  <c r="I43" i="3"/>
  <c r="L44" i="3"/>
  <c r="P43" i="3"/>
  <c r="H43" i="3"/>
  <c r="K44" i="3"/>
  <c r="G38" i="3"/>
  <c r="G39" i="3" s="1"/>
  <c r="G40" i="3"/>
  <c r="K40" i="3"/>
  <c r="O41" i="3"/>
  <c r="R40" i="3"/>
  <c r="J40" i="3"/>
  <c r="N41" i="3"/>
  <c r="Q40" i="3"/>
  <c r="I40" i="3"/>
  <c r="M41" i="3"/>
  <c r="P40" i="3"/>
  <c r="H40" i="3"/>
  <c r="L41" i="3"/>
  <c r="O40" i="3"/>
  <c r="G41" i="3"/>
  <c r="K41" i="3"/>
  <c r="N40" i="3"/>
  <c r="R41" i="3"/>
  <c r="J41" i="3"/>
  <c r="M40" i="3"/>
  <c r="Q41" i="3"/>
  <c r="I41" i="3"/>
  <c r="G36" i="3"/>
  <c r="L40" i="3"/>
  <c r="P41" i="3"/>
  <c r="H41" i="3"/>
  <c r="H15" i="3"/>
  <c r="I15" i="3" s="1"/>
  <c r="I17" i="3" s="1"/>
  <c r="G20" i="3"/>
  <c r="G17" i="3"/>
  <c r="G22" i="3"/>
  <c r="G23" i="3" s="1"/>
  <c r="G28" i="3"/>
  <c r="G21" i="3"/>
  <c r="G16" i="3"/>
  <c r="R52" i="12" l="1"/>
  <c r="S51" i="12"/>
  <c r="S50" i="12"/>
  <c r="T45" i="12"/>
  <c r="P52" i="11"/>
  <c r="R45" i="11"/>
  <c r="Q51" i="11"/>
  <c r="Q50" i="11"/>
  <c r="I16" i="3"/>
  <c r="I34" i="3"/>
  <c r="I35" i="3" s="1"/>
  <c r="G37" i="3"/>
  <c r="H38" i="3"/>
  <c r="H39" i="3" s="1"/>
  <c r="H36" i="3"/>
  <c r="I38" i="3" s="1"/>
  <c r="I39" i="3" s="1"/>
  <c r="H16" i="3"/>
  <c r="H17" i="3"/>
  <c r="H20" i="3"/>
  <c r="G26" i="3"/>
  <c r="G24" i="3"/>
  <c r="H28" i="3"/>
  <c r="G30" i="3"/>
  <c r="G33" i="3"/>
  <c r="G29" i="3"/>
  <c r="H22" i="3"/>
  <c r="G27" i="3"/>
  <c r="J15" i="3"/>
  <c r="I20" i="3"/>
  <c r="T51" i="12" l="1"/>
  <c r="T52" i="12" s="1"/>
  <c r="S52" i="12"/>
  <c r="Q52" i="11"/>
  <c r="R51" i="11"/>
  <c r="S51" i="11" s="1"/>
  <c r="G45" i="3"/>
  <c r="G50" i="3" s="1"/>
  <c r="J34" i="3"/>
  <c r="K34" i="3" s="1"/>
  <c r="L34" i="3" s="1"/>
  <c r="M34" i="3" s="1"/>
  <c r="N34" i="3" s="1"/>
  <c r="O34" i="3" s="1"/>
  <c r="P34" i="3" s="1"/>
  <c r="Q34" i="3" s="1"/>
  <c r="R34" i="3" s="1"/>
  <c r="I36" i="3"/>
  <c r="J38" i="3" s="1"/>
  <c r="J39" i="3" s="1"/>
  <c r="H37" i="3"/>
  <c r="I22" i="3"/>
  <c r="H26" i="3"/>
  <c r="H27" i="3"/>
  <c r="H23" i="3"/>
  <c r="H24" i="3"/>
  <c r="K15" i="3"/>
  <c r="J20" i="3"/>
  <c r="J17" i="3"/>
  <c r="J16" i="3"/>
  <c r="I28" i="3"/>
  <c r="H33" i="3"/>
  <c r="H30" i="3"/>
  <c r="H29" i="3"/>
  <c r="U51" i="12" l="1"/>
  <c r="I73" i="12" s="1"/>
  <c r="R52" i="11"/>
  <c r="H45" i="3"/>
  <c r="H50" i="3" s="1"/>
  <c r="G51" i="3"/>
  <c r="J35" i="3"/>
  <c r="K35" i="3"/>
  <c r="I37" i="3"/>
  <c r="J36" i="3"/>
  <c r="K38" i="3" s="1"/>
  <c r="K39" i="3" s="1"/>
  <c r="J28" i="3"/>
  <c r="I29" i="3"/>
  <c r="I33" i="3"/>
  <c r="I30" i="3"/>
  <c r="L15" i="3"/>
  <c r="K20" i="3"/>
  <c r="K16" i="3"/>
  <c r="K17" i="3"/>
  <c r="J22" i="3"/>
  <c r="I27" i="3"/>
  <c r="I24" i="3"/>
  <c r="I23" i="3"/>
  <c r="I26" i="3"/>
  <c r="D73" i="12" l="1"/>
  <c r="G73" i="12"/>
  <c r="I45" i="3"/>
  <c r="I51" i="3" s="1"/>
  <c r="H51" i="3"/>
  <c r="L35" i="3"/>
  <c r="J37" i="3"/>
  <c r="K36" i="3"/>
  <c r="L38" i="3" s="1"/>
  <c r="L39" i="3" s="1"/>
  <c r="K22" i="3"/>
  <c r="J23" i="3"/>
  <c r="J27" i="3"/>
  <c r="J26" i="3"/>
  <c r="J24" i="3"/>
  <c r="M15" i="3"/>
  <c r="L16" i="3"/>
  <c r="L17" i="3"/>
  <c r="L20" i="3"/>
  <c r="K28" i="3"/>
  <c r="J29" i="3"/>
  <c r="J33" i="3"/>
  <c r="J30" i="3"/>
  <c r="J45" i="3" l="1"/>
  <c r="J50" i="3" s="1"/>
  <c r="I50" i="3"/>
  <c r="M35" i="3"/>
  <c r="K37" i="3"/>
  <c r="L36" i="3"/>
  <c r="M38" i="3" s="1"/>
  <c r="M39" i="3" s="1"/>
  <c r="L28" i="3"/>
  <c r="K29" i="3"/>
  <c r="K33" i="3"/>
  <c r="K30" i="3"/>
  <c r="N15" i="3"/>
  <c r="M17" i="3"/>
  <c r="M16" i="3"/>
  <c r="M20" i="3"/>
  <c r="L22" i="3"/>
  <c r="K24" i="3"/>
  <c r="K26" i="3"/>
  <c r="K27" i="3"/>
  <c r="K23" i="3"/>
  <c r="J51" i="3" l="1"/>
  <c r="K45" i="3"/>
  <c r="K51" i="3" s="1"/>
  <c r="N35" i="3"/>
  <c r="L37" i="3"/>
  <c r="M36" i="3"/>
  <c r="N38" i="3" s="1"/>
  <c r="N39" i="3" s="1"/>
  <c r="M22" i="3"/>
  <c r="L27" i="3"/>
  <c r="L26" i="3"/>
  <c r="L23" i="3"/>
  <c r="L24" i="3"/>
  <c r="O15" i="3"/>
  <c r="N17" i="3"/>
  <c r="N16" i="3"/>
  <c r="N20" i="3"/>
  <c r="M28" i="3"/>
  <c r="L30" i="3"/>
  <c r="L29" i="3"/>
  <c r="L33" i="3"/>
  <c r="K50" i="3" l="1"/>
  <c r="O35" i="3"/>
  <c r="M37" i="3"/>
  <c r="N36" i="3"/>
  <c r="O38" i="3" s="1"/>
  <c r="O39" i="3" s="1"/>
  <c r="L45" i="3"/>
  <c r="P15" i="3"/>
  <c r="O17" i="3"/>
  <c r="O20" i="3"/>
  <c r="O16" i="3"/>
  <c r="N28" i="3"/>
  <c r="M30" i="3"/>
  <c r="M29" i="3"/>
  <c r="M33" i="3"/>
  <c r="N22" i="3"/>
  <c r="M24" i="3"/>
  <c r="M23" i="3"/>
  <c r="M26" i="3"/>
  <c r="M27" i="3"/>
  <c r="L51" i="3" l="1"/>
  <c r="P35" i="3"/>
  <c r="L50" i="3"/>
  <c r="N37" i="3"/>
  <c r="O36" i="3"/>
  <c r="P38" i="3" s="1"/>
  <c r="P39" i="3" s="1"/>
  <c r="M45" i="3"/>
  <c r="M50" i="3" s="1"/>
  <c r="O28" i="3"/>
  <c r="N30" i="3"/>
  <c r="N29" i="3"/>
  <c r="N33" i="3"/>
  <c r="O22" i="3"/>
  <c r="N24" i="3"/>
  <c r="N23" i="3"/>
  <c r="N26" i="3"/>
  <c r="N27" i="3"/>
  <c r="Q15" i="3"/>
  <c r="P16" i="3"/>
  <c r="P17" i="3"/>
  <c r="P20" i="3"/>
  <c r="R35" i="3" l="1"/>
  <c r="Q35" i="3"/>
  <c r="M51" i="3"/>
  <c r="O37" i="3"/>
  <c r="P36" i="3"/>
  <c r="Q38" i="3" s="1"/>
  <c r="Q39" i="3" s="1"/>
  <c r="N45" i="3"/>
  <c r="N50" i="3" s="1"/>
  <c r="P37" i="3"/>
  <c r="P22" i="3"/>
  <c r="O23" i="3"/>
  <c r="O26" i="3"/>
  <c r="O27" i="3"/>
  <c r="O24" i="3"/>
  <c r="P28" i="3"/>
  <c r="O30" i="3"/>
  <c r="O29" i="3"/>
  <c r="O33" i="3"/>
  <c r="R15" i="3"/>
  <c r="Q20" i="3"/>
  <c r="Q17" i="3"/>
  <c r="Q16" i="3"/>
  <c r="Q36" i="3" l="1"/>
  <c r="R38" i="3" s="1"/>
  <c r="R39" i="3" s="1"/>
  <c r="N51" i="3"/>
  <c r="O45" i="3"/>
  <c r="O50" i="3" s="1"/>
  <c r="R16" i="3"/>
  <c r="R20" i="3"/>
  <c r="R17" i="3"/>
  <c r="Q28" i="3"/>
  <c r="P33" i="3"/>
  <c r="P30" i="3"/>
  <c r="P29" i="3"/>
  <c r="Q22" i="3"/>
  <c r="P23" i="3"/>
  <c r="P26" i="3"/>
  <c r="P27" i="3"/>
  <c r="P24" i="3"/>
  <c r="O51" i="3" l="1"/>
  <c r="Q37" i="3"/>
  <c r="R36" i="3"/>
  <c r="R37" i="3" s="1"/>
  <c r="P45" i="3"/>
  <c r="P50" i="3" s="1"/>
  <c r="R28" i="3"/>
  <c r="Q29" i="3"/>
  <c r="Q33" i="3"/>
  <c r="Q30" i="3"/>
  <c r="R22" i="3"/>
  <c r="Q26" i="3"/>
  <c r="Q24" i="3"/>
  <c r="Q27" i="3"/>
  <c r="Q23" i="3"/>
  <c r="P51" i="3" l="1"/>
  <c r="Q45" i="3"/>
  <c r="Q50" i="3" s="1"/>
  <c r="R24" i="3"/>
  <c r="R26" i="3"/>
  <c r="R27" i="3"/>
  <c r="R23" i="3"/>
  <c r="R29" i="3"/>
  <c r="R33" i="3"/>
  <c r="R30" i="3"/>
  <c r="Q51" i="3" l="1"/>
  <c r="R45" i="3"/>
  <c r="R51" i="3" s="1"/>
  <c r="R50" i="3"/>
  <c r="G52" i="3"/>
  <c r="I52" i="3" l="1"/>
  <c r="H52" i="3"/>
  <c r="O52" i="3" l="1"/>
  <c r="J52" i="3"/>
  <c r="L52" i="3"/>
  <c r="M52" i="3"/>
  <c r="S51" i="3"/>
  <c r="Q52" i="3"/>
  <c r="P52" i="3"/>
  <c r="R52" i="3"/>
  <c r="N52" i="3"/>
  <c r="K52" i="3"/>
</calcChain>
</file>

<file path=xl/sharedStrings.xml><?xml version="1.0" encoding="utf-8"?>
<sst xmlns="http://schemas.openxmlformats.org/spreadsheetml/2006/main" count="467" uniqueCount="132">
  <si>
    <t>January</t>
  </si>
  <si>
    <t>February</t>
  </si>
  <si>
    <t>March</t>
  </si>
  <si>
    <t>April</t>
  </si>
  <si>
    <t>May</t>
  </si>
  <si>
    <t>June</t>
  </si>
  <si>
    <t>July</t>
  </si>
  <si>
    <t>August</t>
  </si>
  <si>
    <t>September</t>
  </si>
  <si>
    <t>October</t>
  </si>
  <si>
    <t>November</t>
  </si>
  <si>
    <t>December</t>
  </si>
  <si>
    <t>CASH FLOWS</t>
  </si>
  <si>
    <t>RENT</t>
  </si>
  <si>
    <t>CONDIMINIUM</t>
  </si>
  <si>
    <t>LOAN REPAYMENT</t>
  </si>
  <si>
    <t>WATER PAYMENT IN</t>
  </si>
  <si>
    <t>WATER PAYMENT OUT</t>
  </si>
  <si>
    <t>MAINTENANCE</t>
  </si>
  <si>
    <t>BANKING COSTS</t>
  </si>
  <si>
    <t>MISC COSTS</t>
  </si>
  <si>
    <t>BOOK KEEPING COSTS</t>
  </si>
  <si>
    <t>TAXES</t>
  </si>
  <si>
    <t>QUARTERLY MISC COSTS</t>
  </si>
  <si>
    <t>INSURANCE</t>
  </si>
  <si>
    <t>BUDGET</t>
  </si>
  <si>
    <t>STARTING LIQUIDITY</t>
  </si>
  <si>
    <t>INSERTING AMOUNT</t>
  </si>
  <si>
    <t>RESULTING LIQUIDITY</t>
  </si>
  <si>
    <t>CF</t>
  </si>
  <si>
    <t>Rent</t>
  </si>
  <si>
    <t>Month</t>
  </si>
  <si>
    <t>APARTMENT 1 STARTS IN</t>
  </si>
  <si>
    <t>APARTMENT 2 STARTS IN</t>
  </si>
  <si>
    <t>APARTMENT 3 STARTS IN</t>
  </si>
  <si>
    <t>MAINTENANCE OCCURS IN</t>
  </si>
  <si>
    <t>Number</t>
  </si>
  <si>
    <t>Month Number</t>
  </si>
  <si>
    <t>BOOK KEEPING COSTS OCCUR IN</t>
  </si>
  <si>
    <t>BANKING COSTSSTART IN</t>
  </si>
  <si>
    <t>MISC COSTS START IN</t>
  </si>
  <si>
    <t>BANKING COSTS START IN</t>
  </si>
  <si>
    <t>TAXES OCCUR IN</t>
  </si>
  <si>
    <t>INSURANCE OCCURS IN</t>
  </si>
  <si>
    <t>BELATED RENT RECEIVED IN</t>
  </si>
  <si>
    <t xml:space="preserve">BELATED RENT RECEIVED </t>
  </si>
  <si>
    <t>INSURANCE PAYABLE</t>
  </si>
  <si>
    <t>BELATED RENT RECEIVABLE</t>
  </si>
  <si>
    <t>MAINTENANCE STARTS IN</t>
  </si>
  <si>
    <t>INITIAL LIQUIDITY</t>
  </si>
  <si>
    <t>MAINTENENANCE WILL TAKE #MONTHS</t>
  </si>
  <si>
    <t>MAINTENANCE COST</t>
  </si>
  <si>
    <t>PESSIMISTIC</t>
  </si>
  <si>
    <t>APT1START</t>
  </si>
  <si>
    <t>RENT1</t>
  </si>
  <si>
    <t>APT2START</t>
  </si>
  <si>
    <t>RENT2</t>
  </si>
  <si>
    <t>APT3START</t>
  </si>
  <si>
    <t>RENT3</t>
  </si>
  <si>
    <t>Created by Rafay Zeeshan on 3/2/2023</t>
  </si>
  <si>
    <t>Scenario Summary</t>
  </si>
  <si>
    <t>Changing Cells:</t>
  </si>
  <si>
    <t>Current Values:</t>
  </si>
  <si>
    <t>Result Cells:</t>
  </si>
  <si>
    <t>Notes:  Current Values column represents values of changing cells at</t>
  </si>
  <si>
    <t>time Scenario Summary Report was created.  Changing cells for each</t>
  </si>
  <si>
    <t>scenario are highlighted in gray.</t>
  </si>
  <si>
    <t>TOTAL_INSERTED</t>
  </si>
  <si>
    <t>$B$23</t>
  </si>
  <si>
    <t>MAINT1</t>
  </si>
  <si>
    <t>MAINTSTART</t>
  </si>
  <si>
    <t>MIANTTIME3</t>
  </si>
  <si>
    <t>MAINT3</t>
  </si>
  <si>
    <t>TAXTIME</t>
  </si>
  <si>
    <t>TAX</t>
  </si>
  <si>
    <t>RCVTIME</t>
  </si>
  <si>
    <t>RENTRCVD</t>
  </si>
  <si>
    <t>REALISTIC</t>
  </si>
  <si>
    <t>OPTIMISTIC</t>
  </si>
  <si>
    <t>SCENARIO</t>
  </si>
  <si>
    <t>#</t>
  </si>
  <si>
    <t>RENT DELAY 1</t>
  </si>
  <si>
    <t>RENT DELAY 2</t>
  </si>
  <si>
    <t>RENT DELAY 3</t>
  </si>
  <si>
    <t>RENNOVATION CHANGE 1</t>
  </si>
  <si>
    <t>RENNOVATION CHANGE 2</t>
  </si>
  <si>
    <t>RENNOVATION CHANGE 3</t>
  </si>
  <si>
    <t>MAINTENENANCE  TAKES #MONTHS</t>
  </si>
  <si>
    <t>Original Rent</t>
  </si>
  <si>
    <t>% Increase</t>
  </si>
  <si>
    <t>KEY</t>
  </si>
  <si>
    <t>=</t>
  </si>
  <si>
    <t>Input Vairables</t>
  </si>
  <si>
    <t xml:space="preserve"> </t>
  </si>
  <si>
    <t>% RENT INC</t>
  </si>
  <si>
    <t>Maintenance Cost</t>
  </si>
  <si>
    <t>Microsoft Excel 16.0 Answer Report</t>
  </si>
  <si>
    <t>Worksheet: [Liquidity_Budgeting1.xlsm]BREAKEVEN ANALYSIS</t>
  </si>
  <si>
    <t>Result: Solver found a solution.  All Constraints and optimality conditions are satisfied.</t>
  </si>
  <si>
    <t>Solver Engine</t>
  </si>
  <si>
    <t>Iterations: 2 Subproblems: 0</t>
  </si>
  <si>
    <t>Solver Options</t>
  </si>
  <si>
    <t>Max Time Unlimited,  Iterations Unlimited, Precision 0.000001, Use Automatic Scaling</t>
  </si>
  <si>
    <t xml:space="preserve"> Convergence 0.0001, Population Size 100, Random Seed 0, Derivatives Forward, Require Bounds</t>
  </si>
  <si>
    <t>Max Subproblems Unlimited, Max Integer Sols Unlimited, Integer Tolerance 1%, Assume NonNegative</t>
  </si>
  <si>
    <t>Cell</t>
  </si>
  <si>
    <t>Name</t>
  </si>
  <si>
    <t>Original Value</t>
  </si>
  <si>
    <t>Final Value</t>
  </si>
  <si>
    <t>Variable Cells</t>
  </si>
  <si>
    <t>Integer</t>
  </si>
  <si>
    <t>Constraints</t>
  </si>
  <si>
    <t>Cell Value</t>
  </si>
  <si>
    <t>Formula</t>
  </si>
  <si>
    <t>Status</t>
  </si>
  <si>
    <t>Slack</t>
  </si>
  <si>
    <t>$U$51</t>
  </si>
  <si>
    <t>$D$16</t>
  </si>
  <si>
    <t>Rent % Increase</t>
  </si>
  <si>
    <t>Contin</t>
  </si>
  <si>
    <t>$D$28</t>
  </si>
  <si>
    <t>RENT % Increase</t>
  </si>
  <si>
    <t>$D$37</t>
  </si>
  <si>
    <t>$U$51=0</t>
  </si>
  <si>
    <t>Binding</t>
  </si>
  <si>
    <t>Engine: GRG Nonlinear</t>
  </si>
  <si>
    <t>Objective Cell (Value Of)</t>
  </si>
  <si>
    <t>Report Created: 3/5/2023 12:44:59 PM</t>
  </si>
  <si>
    <t>Solution Time: 0.688 Seconds.</t>
  </si>
  <si>
    <t xml:space="preserve">January </t>
  </si>
  <si>
    <t>% RENT INC VS MONTH OF MAINTENANCE</t>
  </si>
  <si>
    <t>Liquidity Budgeting Model</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</si>
</sst>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5" x14ac:knownFonts="1">
    <font>
      <sz val="11"/>
      <color theme="1"/>
      <name val="Calibri"/>
      <family val="2"/>
      <scheme val="minor"/>
    </font>
    <font>
      <b/>
      <sz val="11"/>
      <color theme="1"/>
      <name val="Calibri"/>
      <family val="2"/>
      <scheme val="minor"/>
    </font>
    <font>
      <sz val="8"/>
      <name val="Calibri"/>
      <family val="2"/>
      <scheme val="minor"/>
    </font>
    <font>
      <b/>
      <sz val="12"/>
      <color theme="1"/>
      <name val="Calibri"/>
      <family val="2"/>
      <scheme val="minor"/>
    </font>
    <font>
      <sz val="11"/>
      <color theme="1"/>
      <name val="Calibri Light"/>
      <family val="2"/>
      <scheme val="major"/>
    </font>
    <font>
      <b/>
      <sz val="11"/>
      <color theme="1"/>
      <name val="Calibri Light"/>
      <family val="2"/>
      <scheme val="major"/>
    </font>
    <font>
      <b/>
      <sz val="12"/>
      <color theme="1"/>
      <name val="Calibri Light"/>
      <family val="2"/>
      <scheme val="major"/>
    </font>
    <font>
      <b/>
      <sz val="12"/>
      <color indexed="9"/>
      <name val="Calibri"/>
      <family val="2"/>
      <scheme val="minor"/>
    </font>
    <font>
      <b/>
      <sz val="11"/>
      <color indexed="8"/>
      <name val="Calibri"/>
      <family val="2"/>
      <scheme val="minor"/>
    </font>
    <font>
      <b/>
      <sz val="11"/>
      <color indexed="18"/>
      <name val="Calibri"/>
      <family val="2"/>
      <scheme val="minor"/>
    </font>
    <font>
      <sz val="10"/>
      <color indexed="9"/>
      <name val="Calibri"/>
      <family val="2"/>
      <scheme val="minor"/>
    </font>
    <font>
      <sz val="8"/>
      <color theme="1"/>
      <name val="Calibri"/>
      <family val="2"/>
      <scheme val="minor"/>
    </font>
    <font>
      <sz val="11"/>
      <color theme="1"/>
      <name val="Calibri"/>
      <family val="2"/>
      <scheme val="minor"/>
    </font>
    <font>
      <b/>
      <sz val="14"/>
      <color theme="1"/>
      <name val="Calibri"/>
      <family val="2"/>
      <scheme val="minor"/>
    </font>
    <font>
      <b/>
      <sz val="18"/>
      <color theme="1"/>
      <name val="Calibri"/>
      <family val="2"/>
      <scheme val="minor"/>
    </font>
  </fonts>
  <fills count="9">
    <fill>
      <patternFill patternType="none"/>
    </fill>
    <fill>
      <patternFill patternType="gray125"/>
    </fill>
    <fill>
      <patternFill patternType="solid">
        <fgColor theme="4" tint="0.59999389629810485"/>
        <bgColor indexed="64"/>
      </patternFill>
    </fill>
    <fill>
      <patternFill patternType="solid">
        <fgColor theme="7"/>
        <bgColor indexed="64"/>
      </patternFill>
    </fill>
    <fill>
      <patternFill patternType="solid">
        <fgColor indexed="20"/>
        <bgColor indexed="24"/>
      </patternFill>
    </fill>
    <fill>
      <patternFill patternType="solid">
        <fgColor indexed="22"/>
        <bgColor indexed="24"/>
      </patternFill>
    </fill>
    <fill>
      <patternFill patternType="solid">
        <fgColor indexed="22"/>
        <bgColor indexed="7"/>
      </patternFill>
    </fill>
    <fill>
      <patternFill patternType="solid">
        <fgColor theme="0"/>
        <bgColor indexed="64"/>
      </patternFill>
    </fill>
    <fill>
      <patternFill patternType="solid">
        <fgColor theme="6" tint="0.79998168889431442"/>
        <bgColor indexed="64"/>
      </patternFill>
    </fill>
  </fills>
  <borders count="28">
    <border>
      <left/>
      <right/>
      <top/>
      <bottom/>
      <diagonal/>
    </border>
    <border>
      <left style="thin">
        <color indexed="64"/>
      </left>
      <right style="thin">
        <color indexed="64"/>
      </right>
      <top style="thin">
        <color indexed="64"/>
      </top>
      <bottom style="thin">
        <color indexed="64"/>
      </bottom>
      <diagonal/>
    </border>
    <border>
      <left/>
      <right/>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bottom style="medium">
        <color indexed="64"/>
      </bottom>
      <diagonal/>
    </border>
    <border>
      <left style="thin">
        <color indexed="64"/>
      </left>
      <right style="medium">
        <color indexed="64"/>
      </right>
      <top/>
      <bottom style="medium">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right style="medium">
        <color indexed="64"/>
      </right>
      <top style="medium">
        <color indexed="64"/>
      </top>
      <bottom/>
      <diagonal/>
    </border>
    <border>
      <left style="medium">
        <color indexed="64"/>
      </left>
      <right/>
      <top style="medium">
        <color indexed="64"/>
      </top>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top/>
      <bottom style="medium">
        <color indexed="64"/>
      </bottom>
      <diagonal/>
    </border>
    <border>
      <left/>
      <right style="medium">
        <color indexed="64"/>
      </right>
      <top/>
      <bottom style="medium">
        <color indexed="64"/>
      </bottom>
      <diagonal/>
    </border>
    <border>
      <left style="thin">
        <color indexed="64"/>
      </left>
      <right style="thin">
        <color indexed="64"/>
      </right>
      <top style="medium">
        <color indexed="64"/>
      </top>
      <bottom style="thin">
        <color indexed="64"/>
      </bottom>
      <diagonal/>
    </border>
    <border>
      <left/>
      <right/>
      <top style="medium">
        <color indexed="64"/>
      </top>
      <bottom/>
      <diagonal/>
    </border>
    <border>
      <left style="medium">
        <color indexed="64"/>
      </left>
      <right/>
      <top/>
      <bottom/>
      <diagonal/>
    </border>
    <border>
      <left/>
      <right style="medium">
        <color indexed="64"/>
      </right>
      <top/>
      <bottom/>
      <diagonal/>
    </border>
    <border>
      <left/>
      <right/>
      <top/>
      <bottom style="medium">
        <color indexed="64"/>
      </bottom>
      <diagonal/>
    </border>
    <border>
      <left/>
      <right/>
      <top style="thin">
        <color indexed="64"/>
      </top>
      <bottom style="thin">
        <color indexed="64"/>
      </bottom>
      <diagonal/>
    </border>
    <border>
      <left style="thin">
        <color indexed="64"/>
      </left>
      <right/>
      <top style="medium">
        <color indexed="64"/>
      </top>
      <bottom style="thin">
        <color indexed="64"/>
      </bottom>
      <diagonal/>
    </border>
    <border>
      <left style="thin">
        <color indexed="64"/>
      </left>
      <right/>
      <top style="thin">
        <color indexed="64"/>
      </top>
      <bottom style="thin">
        <color indexed="64"/>
      </bottom>
      <diagonal/>
    </border>
    <border>
      <left/>
      <right/>
      <top style="medium">
        <color indexed="23"/>
      </top>
      <bottom style="medium">
        <color indexed="23"/>
      </bottom>
      <diagonal/>
    </border>
    <border>
      <left/>
      <right/>
      <top style="thin">
        <color indexed="23"/>
      </top>
      <bottom style="medium">
        <color indexed="23"/>
      </bottom>
      <diagonal/>
    </border>
    <border>
      <left/>
      <right/>
      <top style="thin">
        <color indexed="23"/>
      </top>
      <bottom/>
      <diagonal/>
    </border>
  </borders>
  <cellStyleXfs count="2">
    <xf numFmtId="0" fontId="0" fillId="0" borderId="0"/>
    <xf numFmtId="9" fontId="12" fillId="0" borderId="0" applyFont="0" applyFill="0" applyBorder="0" applyAlignment="0" applyProtection="0"/>
  </cellStyleXfs>
  <cellXfs count="82">
    <xf numFmtId="0" fontId="0" fillId="0" borderId="0" xfId="0"/>
    <xf numFmtId="0" fontId="0" fillId="2" borderId="0" xfId="0" applyFill="1"/>
    <xf numFmtId="0" fontId="1" fillId="0" borderId="0" xfId="0" applyFont="1"/>
    <xf numFmtId="0" fontId="3" fillId="0" borderId="0" xfId="0" applyFont="1"/>
    <xf numFmtId="0" fontId="0" fillId="0" borderId="2" xfId="0" applyBorder="1"/>
    <xf numFmtId="0" fontId="4" fillId="0" borderId="0" xfId="0" applyFont="1"/>
    <xf numFmtId="0" fontId="4" fillId="0" borderId="1" xfId="0" applyFont="1" applyBorder="1"/>
    <xf numFmtId="0" fontId="4" fillId="2" borderId="1" xfId="0" applyFont="1" applyFill="1" applyBorder="1"/>
    <xf numFmtId="0" fontId="0" fillId="2" borderId="1" xfId="0" applyFill="1" applyBorder="1"/>
    <xf numFmtId="0" fontId="0" fillId="0" borderId="1" xfId="0" applyBorder="1"/>
    <xf numFmtId="0" fontId="1" fillId="0" borderId="1" xfId="0" applyFont="1" applyBorder="1" applyAlignment="1">
      <alignment horizontal="center"/>
    </xf>
    <xf numFmtId="0" fontId="1" fillId="0" borderId="3" xfId="0" applyFont="1" applyBorder="1"/>
    <xf numFmtId="0" fontId="0" fillId="0" borderId="5" xfId="0" applyBorder="1"/>
    <xf numFmtId="0" fontId="0" fillId="0" borderId="3" xfId="0" applyBorder="1"/>
    <xf numFmtId="0" fontId="0" fillId="0" borderId="7" xfId="0" applyBorder="1"/>
    <xf numFmtId="0" fontId="0" fillId="0" borderId="9" xfId="0" applyBorder="1"/>
    <xf numFmtId="0" fontId="1" fillId="3" borderId="4" xfId="0" applyFont="1" applyFill="1" applyBorder="1" applyAlignment="1">
      <alignment horizontal="center"/>
    </xf>
    <xf numFmtId="0" fontId="0" fillId="0" borderId="1" xfId="0" applyBorder="1" applyAlignment="1">
      <alignment horizontal="center"/>
    </xf>
    <xf numFmtId="0" fontId="3" fillId="0" borderId="1" xfId="0" applyFont="1" applyBorder="1" applyAlignment="1">
      <alignment horizontal="center"/>
    </xf>
    <xf numFmtId="0" fontId="1" fillId="0" borderId="1" xfId="0" applyFont="1" applyBorder="1"/>
    <xf numFmtId="0" fontId="4" fillId="0" borderId="9" xfId="0" applyFont="1" applyBorder="1"/>
    <xf numFmtId="0" fontId="0" fillId="0" borderId="12" xfId="0" applyBorder="1"/>
    <xf numFmtId="0" fontId="0" fillId="0" borderId="0" xfId="0" applyAlignment="1">
      <alignment horizontal="center"/>
    </xf>
    <xf numFmtId="0" fontId="4" fillId="0" borderId="13" xfId="0" applyFont="1" applyBorder="1"/>
    <xf numFmtId="0" fontId="4" fillId="0" borderId="3" xfId="0" applyFont="1" applyBorder="1"/>
    <xf numFmtId="0" fontId="5" fillId="0" borderId="0" xfId="0" applyFont="1"/>
    <xf numFmtId="0" fontId="5" fillId="0" borderId="12" xfId="0" applyFont="1" applyBorder="1"/>
    <xf numFmtId="0" fontId="0" fillId="0" borderId="18" xfId="0" applyBorder="1"/>
    <xf numFmtId="0" fontId="0" fillId="0" borderId="11" xfId="0" applyBorder="1"/>
    <xf numFmtId="0" fontId="5" fillId="0" borderId="19" xfId="0" applyFont="1" applyBorder="1"/>
    <xf numFmtId="0" fontId="0" fillId="0" borderId="20" xfId="0" applyBorder="1"/>
    <xf numFmtId="0" fontId="5" fillId="0" borderId="15" xfId="0" applyFont="1" applyBorder="1"/>
    <xf numFmtId="0" fontId="0" fillId="0" borderId="21" xfId="0" applyBorder="1"/>
    <xf numFmtId="0" fontId="0" fillId="0" borderId="16" xfId="0" applyBorder="1"/>
    <xf numFmtId="0" fontId="6" fillId="0" borderId="1" xfId="0" applyFont="1" applyBorder="1"/>
    <xf numFmtId="0" fontId="5" fillId="2" borderId="1" xfId="0" applyFont="1" applyFill="1" applyBorder="1"/>
    <xf numFmtId="0" fontId="5" fillId="0" borderId="1" xfId="0" applyFont="1" applyBorder="1"/>
    <xf numFmtId="0" fontId="1" fillId="0" borderId="0" xfId="0" applyFont="1" applyAlignment="1">
      <alignment horizontal="center"/>
    </xf>
    <xf numFmtId="14" fontId="1" fillId="3" borderId="4" xfId="0" applyNumberFormat="1" applyFont="1" applyFill="1" applyBorder="1" applyAlignment="1">
      <alignment horizontal="center"/>
    </xf>
    <xf numFmtId="0" fontId="1" fillId="3" borderId="8" xfId="0" applyFont="1" applyFill="1" applyBorder="1" applyAlignment="1">
      <alignment horizontal="center"/>
    </xf>
    <xf numFmtId="0" fontId="1" fillId="3" borderId="10" xfId="0" applyFont="1" applyFill="1" applyBorder="1" applyAlignment="1">
      <alignment horizontal="center"/>
    </xf>
    <xf numFmtId="0" fontId="1" fillId="3" borderId="6" xfId="0" applyFont="1" applyFill="1" applyBorder="1" applyAlignment="1">
      <alignment horizontal="center"/>
    </xf>
    <xf numFmtId="0" fontId="1" fillId="3" borderId="1" xfId="0" applyFont="1" applyFill="1" applyBorder="1" applyAlignment="1">
      <alignment horizontal="center"/>
    </xf>
    <xf numFmtId="0" fontId="1" fillId="3" borderId="11" xfId="0" applyFont="1" applyFill="1" applyBorder="1" applyAlignment="1">
      <alignment horizontal="center"/>
    </xf>
    <xf numFmtId="0" fontId="1" fillId="3" borderId="14" xfId="0" applyFont="1" applyFill="1" applyBorder="1" applyAlignment="1">
      <alignment horizontal="center"/>
    </xf>
    <xf numFmtId="0" fontId="7" fillId="4" borderId="2" xfId="0" applyFont="1" applyFill="1" applyBorder="1" applyAlignment="1">
      <alignment horizontal="left"/>
    </xf>
    <xf numFmtId="0" fontId="7" fillId="4" borderId="18" xfId="0" applyFont="1" applyFill="1" applyBorder="1" applyAlignment="1">
      <alignment horizontal="left"/>
    </xf>
    <xf numFmtId="0" fontId="0" fillId="0" borderId="22" xfId="0" applyBorder="1"/>
    <xf numFmtId="0" fontId="8" fillId="5" borderId="0" xfId="0" applyFont="1" applyFill="1" applyAlignment="1">
      <alignment horizontal="left"/>
    </xf>
    <xf numFmtId="0" fontId="9" fillId="5" borderId="22" xfId="0" applyFont="1" applyFill="1" applyBorder="1" applyAlignment="1">
      <alignment horizontal="left"/>
    </xf>
    <xf numFmtId="0" fontId="8" fillId="5" borderId="21" xfId="0" applyFont="1" applyFill="1" applyBorder="1" applyAlignment="1">
      <alignment horizontal="left"/>
    </xf>
    <xf numFmtId="0" fontId="10" fillId="4" borderId="18" xfId="0" applyFont="1" applyFill="1" applyBorder="1" applyAlignment="1">
      <alignment horizontal="right"/>
    </xf>
    <xf numFmtId="0" fontId="10" fillId="4" borderId="2" xfId="0" applyFont="1" applyFill="1" applyBorder="1" applyAlignment="1">
      <alignment horizontal="right"/>
    </xf>
    <xf numFmtId="0" fontId="0" fillId="6" borderId="0" xfId="0" applyFill="1"/>
    <xf numFmtId="0" fontId="11" fillId="0" borderId="0" xfId="0" applyFont="1" applyAlignment="1">
      <alignment vertical="top" wrapText="1"/>
    </xf>
    <xf numFmtId="0" fontId="1" fillId="0" borderId="17" xfId="0" applyFont="1" applyBorder="1"/>
    <xf numFmtId="0" fontId="0" fillId="0" borderId="13" xfId="0" applyBorder="1"/>
    <xf numFmtId="14" fontId="1" fillId="3" borderId="23" xfId="0" applyNumberFormat="1" applyFont="1" applyFill="1" applyBorder="1" applyAlignment="1">
      <alignment horizontal="center"/>
    </xf>
    <xf numFmtId="0" fontId="1" fillId="3" borderId="24" xfId="0" applyFont="1" applyFill="1" applyBorder="1" applyAlignment="1">
      <alignment horizontal="center"/>
    </xf>
    <xf numFmtId="0" fontId="0" fillId="3" borderId="9" xfId="0" applyFill="1" applyBorder="1"/>
    <xf numFmtId="9" fontId="0" fillId="3" borderId="10" xfId="1" applyFont="1" applyFill="1" applyBorder="1"/>
    <xf numFmtId="0" fontId="1" fillId="3" borderId="23" xfId="0" applyFont="1" applyFill="1" applyBorder="1" applyAlignment="1">
      <alignment horizontal="center"/>
    </xf>
    <xf numFmtId="0" fontId="1" fillId="0" borderId="24" xfId="0" applyFont="1" applyBorder="1" applyAlignment="1">
      <alignment horizontal="center"/>
    </xf>
    <xf numFmtId="0" fontId="13" fillId="0" borderId="16" xfId="0" applyFont="1" applyBorder="1"/>
    <xf numFmtId="0" fontId="14" fillId="0" borderId="21" xfId="0" applyFont="1" applyBorder="1" applyAlignment="1">
      <alignment horizontal="center"/>
    </xf>
    <xf numFmtId="0" fontId="13" fillId="0" borderId="3" xfId="0" applyFont="1" applyBorder="1" applyAlignment="1">
      <alignment horizontal="center"/>
    </xf>
    <xf numFmtId="0" fontId="1" fillId="3" borderId="9" xfId="0" applyFont="1" applyFill="1" applyBorder="1"/>
    <xf numFmtId="0" fontId="1" fillId="0" borderId="4" xfId="0" applyFont="1" applyBorder="1"/>
    <xf numFmtId="9" fontId="0" fillId="0" borderId="0" xfId="0" applyNumberFormat="1"/>
    <xf numFmtId="0" fontId="0" fillId="0" borderId="26" xfId="0" applyBorder="1"/>
    <xf numFmtId="0" fontId="9" fillId="0" borderId="25" xfId="0" applyFont="1" applyBorder="1" applyAlignment="1">
      <alignment horizontal="center"/>
    </xf>
    <xf numFmtId="0" fontId="0" fillId="0" borderId="27" xfId="0" applyBorder="1"/>
    <xf numFmtId="9" fontId="0" fillId="0" borderId="27" xfId="0" applyNumberFormat="1" applyBorder="1"/>
    <xf numFmtId="9" fontId="0" fillId="0" borderId="26" xfId="0" applyNumberFormat="1" applyBorder="1"/>
    <xf numFmtId="9" fontId="1" fillId="0" borderId="0" xfId="0" applyNumberFormat="1" applyFont="1"/>
    <xf numFmtId="0" fontId="0" fillId="7" borderId="0" xfId="0" applyFill="1"/>
    <xf numFmtId="0" fontId="0" fillId="8" borderId="0" xfId="0" applyFill="1" applyAlignment="1">
      <alignment horizontal="center"/>
    </xf>
    <xf numFmtId="0" fontId="0" fillId="8" borderId="0" xfId="0" applyFill="1"/>
    <xf numFmtId="0" fontId="1" fillId="8" borderId="0" xfId="0" applyFont="1" applyFill="1"/>
    <xf numFmtId="0" fontId="13" fillId="7" borderId="0" xfId="0" applyFont="1" applyFill="1" applyAlignment="1">
      <alignment horizontal="center"/>
    </xf>
    <xf numFmtId="0" fontId="0" fillId="0" borderId="0" xfId="0" applyAlignment="1">
      <alignment horizontal="center"/>
    </xf>
    <xf numFmtId="0" fontId="13" fillId="0" borderId="0" xfId="0" applyFont="1" applyAlignment="1">
      <alignment horizontal="center"/>
    </xf>
  </cellXfs>
  <cellStyles count="2">
    <cellStyle name="Normal" xfId="0" builtinId="0"/>
    <cellStyle name="Percent" xfId="1" builtinId="5"/>
  </cellStyles>
  <dxfs count="12">
    <dxf>
      <font>
        <color theme="9"/>
      </font>
    </dxf>
    <dxf>
      <font>
        <color rgb="FF9C0006"/>
      </font>
    </dxf>
    <dxf>
      <font>
        <color theme="9"/>
      </font>
    </dxf>
    <dxf>
      <font>
        <color rgb="FF9C0006"/>
      </font>
    </dxf>
    <dxf>
      <font>
        <color theme="9"/>
      </font>
    </dxf>
    <dxf>
      <font>
        <color rgb="FF9C0006"/>
      </font>
    </dxf>
    <dxf>
      <font>
        <color theme="9"/>
      </font>
    </dxf>
    <dxf>
      <font>
        <color rgb="FF9C0006"/>
      </font>
    </dxf>
    <dxf>
      <font>
        <color theme="9"/>
      </font>
    </dxf>
    <dxf>
      <font>
        <color rgb="FF9C0006"/>
      </font>
    </dxf>
    <dxf>
      <font>
        <color theme="9"/>
      </font>
    </dxf>
    <dxf>
      <font>
        <color rgb="FF9C0006"/>
      </font>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clustered"/>
        <c:varyColors val="0"/>
        <c:ser>
          <c:idx val="1"/>
          <c:order val="1"/>
          <c:tx>
            <c:strRef>
              <c:f>'SCENARIO RIBBON'!$F$51</c:f>
              <c:strCache>
                <c:ptCount val="1"/>
                <c:pt idx="0">
                  <c:v>INSERTING AMOUNT</c:v>
                </c:pt>
              </c:strCache>
            </c:strRef>
          </c:tx>
          <c:spPr>
            <a:solidFill>
              <a:srgbClr val="92D050"/>
            </a:solidFill>
            <a:ln>
              <a:noFill/>
            </a:ln>
            <a:effectLst/>
          </c:spPr>
          <c:invertIfNegative val="0"/>
          <c:cat>
            <c:strRef>
              <c:f>'SCENARIO RIBBON'!$G$14:$R$14</c:f>
              <c:strCache>
                <c:ptCount val="12"/>
                <c:pt idx="0">
                  <c:v>January</c:v>
                </c:pt>
                <c:pt idx="1">
                  <c:v>February</c:v>
                </c:pt>
                <c:pt idx="2">
                  <c:v>March</c:v>
                </c:pt>
                <c:pt idx="3">
                  <c:v>April</c:v>
                </c:pt>
                <c:pt idx="4">
                  <c:v>May</c:v>
                </c:pt>
                <c:pt idx="5">
                  <c:v>June</c:v>
                </c:pt>
                <c:pt idx="6">
                  <c:v>July</c:v>
                </c:pt>
                <c:pt idx="7">
                  <c:v>August</c:v>
                </c:pt>
                <c:pt idx="8">
                  <c:v>September</c:v>
                </c:pt>
                <c:pt idx="9">
                  <c:v>October</c:v>
                </c:pt>
                <c:pt idx="10">
                  <c:v>November</c:v>
                </c:pt>
                <c:pt idx="11">
                  <c:v>December</c:v>
                </c:pt>
              </c:strCache>
            </c:strRef>
          </c:cat>
          <c:val>
            <c:numRef>
              <c:f>'SCENARIO RIBBON'!$G$51:$R$51</c:f>
              <c:numCache>
                <c:formatCode>General</c:formatCode>
                <c:ptCount val="12"/>
                <c:pt idx="0">
                  <c:v>0</c:v>
                </c:pt>
                <c:pt idx="1">
                  <c:v>202</c:v>
                </c:pt>
                <c:pt idx="2">
                  <c:v>2153</c:v>
                </c:pt>
                <c:pt idx="3">
                  <c:v>3004</c:v>
                </c:pt>
                <c:pt idx="4">
                  <c:v>2256</c:v>
                </c:pt>
                <c:pt idx="5">
                  <c:v>1338</c:v>
                </c:pt>
                <c:pt idx="6">
                  <c:v>590</c:v>
                </c:pt>
                <c:pt idx="7">
                  <c:v>0</c:v>
                </c:pt>
                <c:pt idx="8">
                  <c:v>0</c:v>
                </c:pt>
                <c:pt idx="9">
                  <c:v>0</c:v>
                </c:pt>
                <c:pt idx="10">
                  <c:v>0</c:v>
                </c:pt>
                <c:pt idx="11">
                  <c:v>0</c:v>
                </c:pt>
              </c:numCache>
            </c:numRef>
          </c:val>
          <c:extLst>
            <c:ext xmlns:c16="http://schemas.microsoft.com/office/drawing/2014/chart" uri="{C3380CC4-5D6E-409C-BE32-E72D297353CC}">
              <c16:uniqueId val="{00000001-0340-4607-8A77-5865ABC1CCDB}"/>
            </c:ext>
          </c:extLst>
        </c:ser>
        <c:dLbls>
          <c:showLegendKey val="0"/>
          <c:showVal val="0"/>
          <c:showCatName val="0"/>
          <c:showSerName val="0"/>
          <c:showPercent val="0"/>
          <c:showBubbleSize val="0"/>
        </c:dLbls>
        <c:gapWidth val="150"/>
        <c:axId val="73517248"/>
        <c:axId val="73514752"/>
      </c:barChart>
      <c:lineChart>
        <c:grouping val="standard"/>
        <c:varyColors val="0"/>
        <c:ser>
          <c:idx val="0"/>
          <c:order val="0"/>
          <c:tx>
            <c:strRef>
              <c:f>'SCENARIO RIBBON'!$F$50</c:f>
              <c:strCache>
                <c:ptCount val="1"/>
                <c:pt idx="0">
                  <c:v>INITIAL LIQUIDITY</c:v>
                </c:pt>
              </c:strCache>
            </c:strRef>
          </c:tx>
          <c:spPr>
            <a:ln w="28575" cap="rnd">
              <a:solidFill>
                <a:srgbClr val="FF0000"/>
              </a:solidFill>
              <a:round/>
            </a:ln>
            <a:effectLst/>
          </c:spPr>
          <c:marker>
            <c:symbol val="none"/>
          </c:marker>
          <c:cat>
            <c:strRef>
              <c:f>'SCENARIO RIBBON'!$G$14:$R$14</c:f>
              <c:strCache>
                <c:ptCount val="12"/>
                <c:pt idx="0">
                  <c:v>January</c:v>
                </c:pt>
                <c:pt idx="1">
                  <c:v>February</c:v>
                </c:pt>
                <c:pt idx="2">
                  <c:v>March</c:v>
                </c:pt>
                <c:pt idx="3">
                  <c:v>April</c:v>
                </c:pt>
                <c:pt idx="4">
                  <c:v>May</c:v>
                </c:pt>
                <c:pt idx="5">
                  <c:v>June</c:v>
                </c:pt>
                <c:pt idx="6">
                  <c:v>July</c:v>
                </c:pt>
                <c:pt idx="7">
                  <c:v>August</c:v>
                </c:pt>
                <c:pt idx="8">
                  <c:v>September</c:v>
                </c:pt>
                <c:pt idx="9">
                  <c:v>October</c:v>
                </c:pt>
                <c:pt idx="10">
                  <c:v>November</c:v>
                </c:pt>
                <c:pt idx="11">
                  <c:v>December</c:v>
                </c:pt>
              </c:strCache>
            </c:strRef>
          </c:cat>
          <c:val>
            <c:numRef>
              <c:f>'SCENARIO RIBBON'!$G$50:$R$50</c:f>
              <c:numCache>
                <c:formatCode>General</c:formatCode>
                <c:ptCount val="12"/>
                <c:pt idx="0">
                  <c:v>1049</c:v>
                </c:pt>
                <c:pt idx="1">
                  <c:v>-202</c:v>
                </c:pt>
                <c:pt idx="2">
                  <c:v>-2153</c:v>
                </c:pt>
                <c:pt idx="3">
                  <c:v>-3004</c:v>
                </c:pt>
                <c:pt idx="4">
                  <c:v>-2256</c:v>
                </c:pt>
                <c:pt idx="5">
                  <c:v>-1338</c:v>
                </c:pt>
                <c:pt idx="6">
                  <c:v>-590</c:v>
                </c:pt>
                <c:pt idx="7">
                  <c:v>158</c:v>
                </c:pt>
                <c:pt idx="8">
                  <c:v>806</c:v>
                </c:pt>
                <c:pt idx="9">
                  <c:v>914</c:v>
                </c:pt>
                <c:pt idx="10">
                  <c:v>1662</c:v>
                </c:pt>
                <c:pt idx="11">
                  <c:v>2570</c:v>
                </c:pt>
              </c:numCache>
            </c:numRef>
          </c:val>
          <c:smooth val="0"/>
          <c:extLst>
            <c:ext xmlns:c16="http://schemas.microsoft.com/office/drawing/2014/chart" uri="{C3380CC4-5D6E-409C-BE32-E72D297353CC}">
              <c16:uniqueId val="{00000000-0340-4607-8A77-5865ABC1CCDB}"/>
            </c:ext>
          </c:extLst>
        </c:ser>
        <c:ser>
          <c:idx val="2"/>
          <c:order val="2"/>
          <c:tx>
            <c:strRef>
              <c:f>'SCENARIO RIBBON'!$F$52</c:f>
              <c:strCache>
                <c:ptCount val="1"/>
                <c:pt idx="0">
                  <c:v>RESULTING LIQUIDITY</c:v>
                </c:pt>
              </c:strCache>
            </c:strRef>
          </c:tx>
          <c:spPr>
            <a:ln w="28575" cap="rnd">
              <a:solidFill>
                <a:schemeClr val="accent1"/>
              </a:solidFill>
              <a:round/>
            </a:ln>
            <a:effectLst/>
          </c:spPr>
          <c:marker>
            <c:symbol val="none"/>
          </c:marker>
          <c:cat>
            <c:strRef>
              <c:f>'SCENARIO RIBBON'!$G$14:$R$14</c:f>
              <c:strCache>
                <c:ptCount val="12"/>
                <c:pt idx="0">
                  <c:v>January</c:v>
                </c:pt>
                <c:pt idx="1">
                  <c:v>February</c:v>
                </c:pt>
                <c:pt idx="2">
                  <c:v>March</c:v>
                </c:pt>
                <c:pt idx="3">
                  <c:v>April</c:v>
                </c:pt>
                <c:pt idx="4">
                  <c:v>May</c:v>
                </c:pt>
                <c:pt idx="5">
                  <c:v>June</c:v>
                </c:pt>
                <c:pt idx="6">
                  <c:v>July</c:v>
                </c:pt>
                <c:pt idx="7">
                  <c:v>August</c:v>
                </c:pt>
                <c:pt idx="8">
                  <c:v>September</c:v>
                </c:pt>
                <c:pt idx="9">
                  <c:v>October</c:v>
                </c:pt>
                <c:pt idx="10">
                  <c:v>November</c:v>
                </c:pt>
                <c:pt idx="11">
                  <c:v>December</c:v>
                </c:pt>
              </c:strCache>
            </c:strRef>
          </c:cat>
          <c:val>
            <c:numRef>
              <c:f>'SCENARIO RIBBON'!$G$52:$R$52</c:f>
              <c:numCache>
                <c:formatCode>General</c:formatCode>
                <c:ptCount val="12"/>
                <c:pt idx="0">
                  <c:v>1049</c:v>
                </c:pt>
                <c:pt idx="1">
                  <c:v>0</c:v>
                </c:pt>
                <c:pt idx="2">
                  <c:v>202</c:v>
                </c:pt>
                <c:pt idx="3">
                  <c:v>2355</c:v>
                </c:pt>
                <c:pt idx="4">
                  <c:v>5359</c:v>
                </c:pt>
                <c:pt idx="5">
                  <c:v>7615</c:v>
                </c:pt>
                <c:pt idx="6">
                  <c:v>8953</c:v>
                </c:pt>
                <c:pt idx="7">
                  <c:v>9701</c:v>
                </c:pt>
                <c:pt idx="8">
                  <c:v>10349</c:v>
                </c:pt>
                <c:pt idx="9">
                  <c:v>10457</c:v>
                </c:pt>
                <c:pt idx="10">
                  <c:v>11205</c:v>
                </c:pt>
                <c:pt idx="11">
                  <c:v>12113</c:v>
                </c:pt>
              </c:numCache>
            </c:numRef>
          </c:val>
          <c:smooth val="0"/>
          <c:extLst>
            <c:ext xmlns:c16="http://schemas.microsoft.com/office/drawing/2014/chart" uri="{C3380CC4-5D6E-409C-BE32-E72D297353CC}">
              <c16:uniqueId val="{00000002-0340-4607-8A77-5865ABC1CCDB}"/>
            </c:ext>
          </c:extLst>
        </c:ser>
        <c:dLbls>
          <c:showLegendKey val="0"/>
          <c:showVal val="0"/>
          <c:showCatName val="0"/>
          <c:showSerName val="0"/>
          <c:showPercent val="0"/>
          <c:showBubbleSize val="0"/>
        </c:dLbls>
        <c:marker val="1"/>
        <c:smooth val="0"/>
        <c:axId val="73517248"/>
        <c:axId val="73514752"/>
      </c:lineChart>
      <c:catAx>
        <c:axId val="7351724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3514752"/>
        <c:crosses val="autoZero"/>
        <c:auto val="1"/>
        <c:lblAlgn val="ctr"/>
        <c:lblOffset val="100"/>
        <c:noMultiLvlLbl val="0"/>
      </c:catAx>
      <c:valAx>
        <c:axId val="7351475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351724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cap="none" spc="20" baseline="0">
                <a:solidFill>
                  <a:schemeClr val="dk1">
                    <a:lumMod val="50000"/>
                    <a:lumOff val="50000"/>
                  </a:schemeClr>
                </a:solidFill>
                <a:latin typeface="+mn-lt"/>
                <a:ea typeface="+mn-ea"/>
                <a:cs typeface="+mn-cs"/>
              </a:defRPr>
            </a:pPr>
            <a:r>
              <a:rPr lang="en-US"/>
              <a:t>Liquidities</a:t>
            </a:r>
          </a:p>
        </c:rich>
      </c:tx>
      <c:overlay val="0"/>
      <c:spPr>
        <a:noFill/>
        <a:ln>
          <a:noFill/>
        </a:ln>
        <a:effectLst/>
      </c:spPr>
      <c:txPr>
        <a:bodyPr rot="0" spcFirstLastPara="1" vertOverflow="ellipsis" vert="horz" wrap="square" anchor="ctr" anchorCtr="1"/>
        <a:lstStyle/>
        <a:p>
          <a:pPr>
            <a:defRPr sz="1400" b="0" i="0" u="none" strike="noStrike" kern="1200" cap="none" spc="20" baseline="0">
              <a:solidFill>
                <a:schemeClr val="dk1">
                  <a:lumMod val="50000"/>
                  <a:lumOff val="50000"/>
                </a:schemeClr>
              </a:solidFill>
              <a:latin typeface="+mn-lt"/>
              <a:ea typeface="+mn-ea"/>
              <a:cs typeface="+mn-cs"/>
            </a:defRPr>
          </a:pPr>
          <a:endParaRPr lang="en-US"/>
        </a:p>
      </c:txPr>
    </c:title>
    <c:autoTitleDeleted val="0"/>
    <c:plotArea>
      <c:layout>
        <c:manualLayout>
          <c:layoutTarget val="inner"/>
          <c:xMode val="edge"/>
          <c:yMode val="edge"/>
          <c:x val="7.0370834557715298E-2"/>
          <c:y val="0.10667776830835636"/>
          <c:w val="0.92962916544228469"/>
          <c:h val="0.81576051526554094"/>
        </c:manualLayout>
      </c:layout>
      <c:lineChart>
        <c:grouping val="standard"/>
        <c:varyColors val="0"/>
        <c:ser>
          <c:idx val="0"/>
          <c:order val="0"/>
          <c:tx>
            <c:strRef>
              <c:f>ORIGINAL!$F$50</c:f>
              <c:strCache>
                <c:ptCount val="1"/>
                <c:pt idx="0">
                  <c:v>INITIAL LIQUIDITY</c:v>
                </c:pt>
              </c:strCache>
            </c:strRef>
          </c:tx>
          <c:spPr>
            <a:ln w="22225" cap="rnd" cmpd="sng" algn="ctr">
              <a:solidFill>
                <a:schemeClr val="accent1"/>
              </a:solidFill>
              <a:round/>
            </a:ln>
            <a:effectLst/>
          </c:spPr>
          <c:marker>
            <c:symbol val="none"/>
          </c:marker>
          <c:val>
            <c:numRef>
              <c:f>ORIGINAL!$G$50:$R$50</c:f>
              <c:numCache>
                <c:formatCode>General</c:formatCode>
                <c:ptCount val="12"/>
                <c:pt idx="0">
                  <c:v>1049</c:v>
                </c:pt>
                <c:pt idx="1">
                  <c:v>-202</c:v>
                </c:pt>
                <c:pt idx="2">
                  <c:v>-2153</c:v>
                </c:pt>
                <c:pt idx="3">
                  <c:v>-3004</c:v>
                </c:pt>
                <c:pt idx="4">
                  <c:v>-2256</c:v>
                </c:pt>
                <c:pt idx="5">
                  <c:v>-1338</c:v>
                </c:pt>
                <c:pt idx="6">
                  <c:v>-590</c:v>
                </c:pt>
                <c:pt idx="7">
                  <c:v>158</c:v>
                </c:pt>
                <c:pt idx="8">
                  <c:v>806</c:v>
                </c:pt>
                <c:pt idx="9">
                  <c:v>914</c:v>
                </c:pt>
                <c:pt idx="10">
                  <c:v>1662</c:v>
                </c:pt>
                <c:pt idx="11">
                  <c:v>2570</c:v>
                </c:pt>
              </c:numCache>
            </c:numRef>
          </c:val>
          <c:smooth val="0"/>
          <c:extLst>
            <c:ext xmlns:c16="http://schemas.microsoft.com/office/drawing/2014/chart" uri="{C3380CC4-5D6E-409C-BE32-E72D297353CC}">
              <c16:uniqueId val="{00000000-C008-4ACD-BDF7-E9BD3B1D4EE2}"/>
            </c:ext>
          </c:extLst>
        </c:ser>
        <c:ser>
          <c:idx val="1"/>
          <c:order val="1"/>
          <c:tx>
            <c:strRef>
              <c:f>ORIGINAL!$F$51</c:f>
              <c:strCache>
                <c:ptCount val="1"/>
                <c:pt idx="0">
                  <c:v>INSERTING AMOUNT</c:v>
                </c:pt>
              </c:strCache>
            </c:strRef>
          </c:tx>
          <c:spPr>
            <a:ln w="22225" cap="rnd" cmpd="sng" algn="ctr">
              <a:solidFill>
                <a:schemeClr val="accent2"/>
              </a:solidFill>
              <a:round/>
            </a:ln>
            <a:effectLst/>
          </c:spPr>
          <c:marker>
            <c:symbol val="none"/>
          </c:marker>
          <c:val>
            <c:numRef>
              <c:f>ORIGINAL!$G$51:$R$51</c:f>
              <c:numCache>
                <c:formatCode>General</c:formatCode>
                <c:ptCount val="12"/>
                <c:pt idx="0">
                  <c:v>0</c:v>
                </c:pt>
                <c:pt idx="1">
                  <c:v>202</c:v>
                </c:pt>
                <c:pt idx="2">
                  <c:v>2153</c:v>
                </c:pt>
                <c:pt idx="3">
                  <c:v>3004</c:v>
                </c:pt>
                <c:pt idx="4">
                  <c:v>2256</c:v>
                </c:pt>
                <c:pt idx="5">
                  <c:v>1338</c:v>
                </c:pt>
                <c:pt idx="6">
                  <c:v>590</c:v>
                </c:pt>
                <c:pt idx="7">
                  <c:v>0</c:v>
                </c:pt>
                <c:pt idx="8">
                  <c:v>0</c:v>
                </c:pt>
                <c:pt idx="9">
                  <c:v>0</c:v>
                </c:pt>
                <c:pt idx="10">
                  <c:v>0</c:v>
                </c:pt>
                <c:pt idx="11">
                  <c:v>0</c:v>
                </c:pt>
              </c:numCache>
            </c:numRef>
          </c:val>
          <c:smooth val="0"/>
          <c:extLst>
            <c:ext xmlns:c16="http://schemas.microsoft.com/office/drawing/2014/chart" uri="{C3380CC4-5D6E-409C-BE32-E72D297353CC}">
              <c16:uniqueId val="{00000001-C008-4ACD-BDF7-E9BD3B1D4EE2}"/>
            </c:ext>
          </c:extLst>
        </c:ser>
        <c:ser>
          <c:idx val="2"/>
          <c:order val="2"/>
          <c:tx>
            <c:strRef>
              <c:f>ORIGINAL!$F$52</c:f>
              <c:strCache>
                <c:ptCount val="1"/>
                <c:pt idx="0">
                  <c:v>RESULTING LIQUIDITY</c:v>
                </c:pt>
              </c:strCache>
            </c:strRef>
          </c:tx>
          <c:spPr>
            <a:ln w="22225" cap="rnd" cmpd="sng" algn="ctr">
              <a:solidFill>
                <a:schemeClr val="accent3"/>
              </a:solidFill>
              <a:round/>
            </a:ln>
            <a:effectLst/>
          </c:spPr>
          <c:marker>
            <c:symbol val="none"/>
          </c:marker>
          <c:val>
            <c:numRef>
              <c:f>ORIGINAL!$G$52:$R$52</c:f>
              <c:numCache>
                <c:formatCode>General</c:formatCode>
                <c:ptCount val="12"/>
                <c:pt idx="0">
                  <c:v>1049</c:v>
                </c:pt>
                <c:pt idx="1">
                  <c:v>0</c:v>
                </c:pt>
                <c:pt idx="2">
                  <c:v>202</c:v>
                </c:pt>
                <c:pt idx="3">
                  <c:v>2355</c:v>
                </c:pt>
                <c:pt idx="4">
                  <c:v>5359</c:v>
                </c:pt>
                <c:pt idx="5">
                  <c:v>7615</c:v>
                </c:pt>
                <c:pt idx="6">
                  <c:v>8953</c:v>
                </c:pt>
                <c:pt idx="7">
                  <c:v>9701</c:v>
                </c:pt>
                <c:pt idx="8">
                  <c:v>10349</c:v>
                </c:pt>
                <c:pt idx="9">
                  <c:v>10457</c:v>
                </c:pt>
                <c:pt idx="10">
                  <c:v>11205</c:v>
                </c:pt>
                <c:pt idx="11">
                  <c:v>12113</c:v>
                </c:pt>
              </c:numCache>
            </c:numRef>
          </c:val>
          <c:smooth val="0"/>
          <c:extLst>
            <c:ext xmlns:c16="http://schemas.microsoft.com/office/drawing/2014/chart" uri="{C3380CC4-5D6E-409C-BE32-E72D297353CC}">
              <c16:uniqueId val="{00000002-C008-4ACD-BDF7-E9BD3B1D4EE2}"/>
            </c:ext>
          </c:extLst>
        </c:ser>
        <c:dLbls>
          <c:showLegendKey val="0"/>
          <c:showVal val="0"/>
          <c:showCatName val="0"/>
          <c:showSerName val="0"/>
          <c:showPercent val="0"/>
          <c:showBubbleSize val="0"/>
        </c:dLbls>
        <c:dropLines>
          <c:spPr>
            <a:ln w="9525" cap="flat" cmpd="sng" algn="ctr">
              <a:solidFill>
                <a:schemeClr val="dk1">
                  <a:lumMod val="35000"/>
                  <a:lumOff val="65000"/>
                  <a:alpha val="33000"/>
                </a:schemeClr>
              </a:solidFill>
              <a:round/>
            </a:ln>
            <a:effectLst/>
          </c:spPr>
        </c:dropLines>
        <c:smooth val="0"/>
        <c:axId val="1429997792"/>
        <c:axId val="1429990304"/>
      </c:lineChart>
      <c:catAx>
        <c:axId val="1429997792"/>
        <c:scaling>
          <c:orientation val="minMax"/>
        </c:scaling>
        <c:delete val="0"/>
        <c:axPos val="b"/>
        <c:numFmt formatCode="General" sourceLinked="1"/>
        <c:majorTickMark val="none"/>
        <c:minorTickMark val="none"/>
        <c:tickLblPos val="nextTo"/>
        <c:spPr>
          <a:noFill/>
          <a:ln w="9525" cap="flat" cmpd="sng" algn="ctr">
            <a:solidFill>
              <a:schemeClr val="dk1">
                <a:lumMod val="15000"/>
                <a:lumOff val="85000"/>
              </a:schemeClr>
            </a:solidFill>
            <a:round/>
          </a:ln>
          <a:effectLst/>
        </c:spPr>
        <c:txPr>
          <a:bodyPr rot="-60000000" spcFirstLastPara="1" vertOverflow="ellipsis" vert="horz" wrap="square" anchor="ctr" anchorCtr="1"/>
          <a:lstStyle/>
          <a:p>
            <a:pPr>
              <a:defRPr sz="900" b="0" i="0" u="none" strike="noStrike" kern="1200" spc="20" baseline="0">
                <a:solidFill>
                  <a:schemeClr val="dk1">
                    <a:lumMod val="65000"/>
                    <a:lumOff val="35000"/>
                  </a:schemeClr>
                </a:solidFill>
                <a:latin typeface="+mn-lt"/>
                <a:ea typeface="+mn-ea"/>
                <a:cs typeface="+mn-cs"/>
              </a:defRPr>
            </a:pPr>
            <a:endParaRPr lang="en-US"/>
          </a:p>
        </c:txPr>
        <c:crossAx val="1429990304"/>
        <c:crosses val="autoZero"/>
        <c:auto val="1"/>
        <c:lblAlgn val="ctr"/>
        <c:lblOffset val="100"/>
        <c:noMultiLvlLbl val="0"/>
      </c:catAx>
      <c:valAx>
        <c:axId val="1429990304"/>
        <c:scaling>
          <c:orientation val="minMax"/>
        </c:scaling>
        <c:delete val="0"/>
        <c:axPos val="l"/>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spc="20" baseline="0">
                <a:solidFill>
                  <a:schemeClr val="dk1">
                    <a:lumMod val="65000"/>
                    <a:lumOff val="35000"/>
                  </a:schemeClr>
                </a:solidFill>
                <a:latin typeface="+mn-lt"/>
                <a:ea typeface="+mn-ea"/>
                <a:cs typeface="+mn-cs"/>
              </a:defRPr>
            </a:pPr>
            <a:endParaRPr lang="en-US"/>
          </a:p>
        </c:txPr>
        <c:crossAx val="1429997792"/>
        <c:crosses val="autoZero"/>
        <c:crossBetween val="between"/>
      </c:valAx>
      <c:spPr>
        <a:gradFill>
          <a:gsLst>
            <a:gs pos="100000">
              <a:schemeClr val="lt1">
                <a:lumMod val="95000"/>
              </a:schemeClr>
            </a:gs>
            <a:gs pos="0">
              <a:schemeClr val="lt1"/>
            </a:gs>
          </a:gsLst>
          <a:lin ang="5400000" scaled="0"/>
        </a:grad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dk1">
                  <a:lumMod val="65000"/>
                  <a:lumOff val="35000"/>
                </a:schemeClr>
              </a:solidFill>
              <a:latin typeface="+mn-lt"/>
              <a:ea typeface="+mn-ea"/>
              <a:cs typeface="+mn-cs"/>
            </a:defRPr>
          </a:pPr>
          <a:endParaRPr lang="en-US"/>
        </a:p>
      </c:txPr>
    </c:legend>
    <c:plotVisOnly val="1"/>
    <c:dispBlanksAs val="gap"/>
    <c:showDLblsOverMax val="0"/>
  </c:chart>
  <c:spPr>
    <a:solidFill>
      <a:schemeClr val="lt1"/>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clustered"/>
        <c:varyColors val="0"/>
        <c:ser>
          <c:idx val="1"/>
          <c:order val="1"/>
          <c:tx>
            <c:strRef>
              <c:f>'SCENARIO RIBBON'!$F$51</c:f>
              <c:strCache>
                <c:ptCount val="1"/>
                <c:pt idx="0">
                  <c:v>INSERTING AMOUNT</c:v>
                </c:pt>
              </c:strCache>
            </c:strRef>
          </c:tx>
          <c:spPr>
            <a:solidFill>
              <a:srgbClr val="92D050"/>
            </a:solidFill>
            <a:ln>
              <a:noFill/>
            </a:ln>
            <a:effectLst/>
          </c:spPr>
          <c:invertIfNegative val="0"/>
          <c:cat>
            <c:strRef>
              <c:f>'SCENARIO RIBBON'!$G$14:$R$14</c:f>
              <c:strCache>
                <c:ptCount val="12"/>
                <c:pt idx="0">
                  <c:v>January</c:v>
                </c:pt>
                <c:pt idx="1">
                  <c:v>February</c:v>
                </c:pt>
                <c:pt idx="2">
                  <c:v>March</c:v>
                </c:pt>
                <c:pt idx="3">
                  <c:v>April</c:v>
                </c:pt>
                <c:pt idx="4">
                  <c:v>May</c:v>
                </c:pt>
                <c:pt idx="5">
                  <c:v>June</c:v>
                </c:pt>
                <c:pt idx="6">
                  <c:v>July</c:v>
                </c:pt>
                <c:pt idx="7">
                  <c:v>August</c:v>
                </c:pt>
                <c:pt idx="8">
                  <c:v>September</c:v>
                </c:pt>
                <c:pt idx="9">
                  <c:v>October</c:v>
                </c:pt>
                <c:pt idx="10">
                  <c:v>November</c:v>
                </c:pt>
                <c:pt idx="11">
                  <c:v>December</c:v>
                </c:pt>
              </c:strCache>
            </c:strRef>
          </c:cat>
          <c:val>
            <c:numRef>
              <c:f>'SCENARIO RIBBON'!$G$51:$R$51</c:f>
              <c:numCache>
                <c:formatCode>General</c:formatCode>
                <c:ptCount val="12"/>
                <c:pt idx="0">
                  <c:v>0</c:v>
                </c:pt>
                <c:pt idx="1">
                  <c:v>202</c:v>
                </c:pt>
                <c:pt idx="2">
                  <c:v>2153</c:v>
                </c:pt>
                <c:pt idx="3">
                  <c:v>3004</c:v>
                </c:pt>
                <c:pt idx="4">
                  <c:v>2256</c:v>
                </c:pt>
                <c:pt idx="5">
                  <c:v>1338</c:v>
                </c:pt>
                <c:pt idx="6">
                  <c:v>590</c:v>
                </c:pt>
                <c:pt idx="7">
                  <c:v>0</c:v>
                </c:pt>
                <c:pt idx="8">
                  <c:v>0</c:v>
                </c:pt>
                <c:pt idx="9">
                  <c:v>0</c:v>
                </c:pt>
                <c:pt idx="10">
                  <c:v>0</c:v>
                </c:pt>
                <c:pt idx="11">
                  <c:v>0</c:v>
                </c:pt>
              </c:numCache>
            </c:numRef>
          </c:val>
          <c:extLst>
            <c:ext xmlns:c16="http://schemas.microsoft.com/office/drawing/2014/chart" uri="{C3380CC4-5D6E-409C-BE32-E72D297353CC}">
              <c16:uniqueId val="{00000000-57F6-472D-9BD0-74DE77A5C176}"/>
            </c:ext>
          </c:extLst>
        </c:ser>
        <c:dLbls>
          <c:showLegendKey val="0"/>
          <c:showVal val="0"/>
          <c:showCatName val="0"/>
          <c:showSerName val="0"/>
          <c:showPercent val="0"/>
          <c:showBubbleSize val="0"/>
        </c:dLbls>
        <c:gapWidth val="150"/>
        <c:axId val="73517248"/>
        <c:axId val="73514752"/>
      </c:barChart>
      <c:lineChart>
        <c:grouping val="standard"/>
        <c:varyColors val="0"/>
        <c:ser>
          <c:idx val="0"/>
          <c:order val="0"/>
          <c:tx>
            <c:strRef>
              <c:f>'SCENARIO RIBBON'!$F$50</c:f>
              <c:strCache>
                <c:ptCount val="1"/>
                <c:pt idx="0">
                  <c:v>INITIAL LIQUIDITY</c:v>
                </c:pt>
              </c:strCache>
            </c:strRef>
          </c:tx>
          <c:spPr>
            <a:ln w="28575" cap="rnd">
              <a:solidFill>
                <a:srgbClr val="FF0000"/>
              </a:solidFill>
              <a:round/>
            </a:ln>
            <a:effectLst/>
          </c:spPr>
          <c:marker>
            <c:symbol val="none"/>
          </c:marker>
          <c:cat>
            <c:strRef>
              <c:f>'SCENARIO RIBBON'!$G$14:$R$14</c:f>
              <c:strCache>
                <c:ptCount val="12"/>
                <c:pt idx="0">
                  <c:v>January</c:v>
                </c:pt>
                <c:pt idx="1">
                  <c:v>February</c:v>
                </c:pt>
                <c:pt idx="2">
                  <c:v>March</c:v>
                </c:pt>
                <c:pt idx="3">
                  <c:v>April</c:v>
                </c:pt>
                <c:pt idx="4">
                  <c:v>May</c:v>
                </c:pt>
                <c:pt idx="5">
                  <c:v>June</c:v>
                </c:pt>
                <c:pt idx="6">
                  <c:v>July</c:v>
                </c:pt>
                <c:pt idx="7">
                  <c:v>August</c:v>
                </c:pt>
                <c:pt idx="8">
                  <c:v>September</c:v>
                </c:pt>
                <c:pt idx="9">
                  <c:v>October</c:v>
                </c:pt>
                <c:pt idx="10">
                  <c:v>November</c:v>
                </c:pt>
                <c:pt idx="11">
                  <c:v>December</c:v>
                </c:pt>
              </c:strCache>
            </c:strRef>
          </c:cat>
          <c:val>
            <c:numRef>
              <c:f>'SCENARIO RIBBON'!$G$50:$R$50</c:f>
              <c:numCache>
                <c:formatCode>General</c:formatCode>
                <c:ptCount val="12"/>
                <c:pt idx="0">
                  <c:v>1049</c:v>
                </c:pt>
                <c:pt idx="1">
                  <c:v>-202</c:v>
                </c:pt>
                <c:pt idx="2">
                  <c:v>-2153</c:v>
                </c:pt>
                <c:pt idx="3">
                  <c:v>-3004</c:v>
                </c:pt>
                <c:pt idx="4">
                  <c:v>-2256</c:v>
                </c:pt>
                <c:pt idx="5">
                  <c:v>-1338</c:v>
                </c:pt>
                <c:pt idx="6">
                  <c:v>-590</c:v>
                </c:pt>
                <c:pt idx="7">
                  <c:v>158</c:v>
                </c:pt>
                <c:pt idx="8">
                  <c:v>806</c:v>
                </c:pt>
                <c:pt idx="9">
                  <c:v>914</c:v>
                </c:pt>
                <c:pt idx="10">
                  <c:v>1662</c:v>
                </c:pt>
                <c:pt idx="11">
                  <c:v>2570</c:v>
                </c:pt>
              </c:numCache>
            </c:numRef>
          </c:val>
          <c:smooth val="0"/>
          <c:extLst>
            <c:ext xmlns:c16="http://schemas.microsoft.com/office/drawing/2014/chart" uri="{C3380CC4-5D6E-409C-BE32-E72D297353CC}">
              <c16:uniqueId val="{00000001-57F6-472D-9BD0-74DE77A5C176}"/>
            </c:ext>
          </c:extLst>
        </c:ser>
        <c:ser>
          <c:idx val="2"/>
          <c:order val="2"/>
          <c:tx>
            <c:strRef>
              <c:f>'SCENARIO RIBBON'!$F$52</c:f>
              <c:strCache>
                <c:ptCount val="1"/>
                <c:pt idx="0">
                  <c:v>RESULTING LIQUIDITY</c:v>
                </c:pt>
              </c:strCache>
            </c:strRef>
          </c:tx>
          <c:spPr>
            <a:ln w="28575" cap="rnd">
              <a:solidFill>
                <a:schemeClr val="accent1"/>
              </a:solidFill>
              <a:round/>
            </a:ln>
            <a:effectLst/>
          </c:spPr>
          <c:marker>
            <c:symbol val="none"/>
          </c:marker>
          <c:cat>
            <c:strRef>
              <c:f>'SCENARIO RIBBON'!$G$14:$R$14</c:f>
              <c:strCache>
                <c:ptCount val="12"/>
                <c:pt idx="0">
                  <c:v>January</c:v>
                </c:pt>
                <c:pt idx="1">
                  <c:v>February</c:v>
                </c:pt>
                <c:pt idx="2">
                  <c:v>March</c:v>
                </c:pt>
                <c:pt idx="3">
                  <c:v>April</c:v>
                </c:pt>
                <c:pt idx="4">
                  <c:v>May</c:v>
                </c:pt>
                <c:pt idx="5">
                  <c:v>June</c:v>
                </c:pt>
                <c:pt idx="6">
                  <c:v>July</c:v>
                </c:pt>
                <c:pt idx="7">
                  <c:v>August</c:v>
                </c:pt>
                <c:pt idx="8">
                  <c:v>September</c:v>
                </c:pt>
                <c:pt idx="9">
                  <c:v>October</c:v>
                </c:pt>
                <c:pt idx="10">
                  <c:v>November</c:v>
                </c:pt>
                <c:pt idx="11">
                  <c:v>December</c:v>
                </c:pt>
              </c:strCache>
            </c:strRef>
          </c:cat>
          <c:val>
            <c:numRef>
              <c:f>'SCENARIO RIBBON'!$G$52:$R$52</c:f>
              <c:numCache>
                <c:formatCode>General</c:formatCode>
                <c:ptCount val="12"/>
                <c:pt idx="0">
                  <c:v>1049</c:v>
                </c:pt>
                <c:pt idx="1">
                  <c:v>0</c:v>
                </c:pt>
                <c:pt idx="2">
                  <c:v>202</c:v>
                </c:pt>
                <c:pt idx="3">
                  <c:v>2355</c:v>
                </c:pt>
                <c:pt idx="4">
                  <c:v>5359</c:v>
                </c:pt>
                <c:pt idx="5">
                  <c:v>7615</c:v>
                </c:pt>
                <c:pt idx="6">
                  <c:v>8953</c:v>
                </c:pt>
                <c:pt idx="7">
                  <c:v>9701</c:v>
                </c:pt>
                <c:pt idx="8">
                  <c:v>10349</c:v>
                </c:pt>
                <c:pt idx="9">
                  <c:v>10457</c:v>
                </c:pt>
                <c:pt idx="10">
                  <c:v>11205</c:v>
                </c:pt>
                <c:pt idx="11">
                  <c:v>12113</c:v>
                </c:pt>
              </c:numCache>
            </c:numRef>
          </c:val>
          <c:smooth val="0"/>
          <c:extLst>
            <c:ext xmlns:c16="http://schemas.microsoft.com/office/drawing/2014/chart" uri="{C3380CC4-5D6E-409C-BE32-E72D297353CC}">
              <c16:uniqueId val="{00000002-57F6-472D-9BD0-74DE77A5C176}"/>
            </c:ext>
          </c:extLst>
        </c:ser>
        <c:dLbls>
          <c:showLegendKey val="0"/>
          <c:showVal val="0"/>
          <c:showCatName val="0"/>
          <c:showSerName val="0"/>
          <c:showPercent val="0"/>
          <c:showBubbleSize val="0"/>
        </c:dLbls>
        <c:marker val="1"/>
        <c:smooth val="0"/>
        <c:axId val="73517248"/>
        <c:axId val="73514752"/>
      </c:lineChart>
      <c:catAx>
        <c:axId val="7351724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3514752"/>
        <c:crosses val="autoZero"/>
        <c:auto val="1"/>
        <c:lblAlgn val="ctr"/>
        <c:lblOffset val="100"/>
        <c:noMultiLvlLbl val="0"/>
      </c:catAx>
      <c:valAx>
        <c:axId val="7351475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351724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30">
  <cs:axisTitle>
    <cs:lnRef idx="0"/>
    <cs:fillRef idx="0"/>
    <cs:effectRef idx="0"/>
    <cs:fontRef idx="minor">
      <a:schemeClr val="dk1">
        <a:lumMod val="65000"/>
        <a:lumOff val="35000"/>
      </a:schemeClr>
    </cs:fontRef>
    <cs:defRPr sz="900" kern="1200" cap="all"/>
  </cs:axisTitle>
  <cs:categoryAxis>
    <cs:lnRef idx="0"/>
    <cs:fillRef idx="0"/>
    <cs:effectRef idx="0"/>
    <cs:fontRef idx="minor">
      <a:schemeClr val="dk1">
        <a:lumMod val="65000"/>
        <a:lumOff val="35000"/>
      </a:schemeClr>
    </cs:fontRef>
    <cs:spPr>
      <a:ln w="9525" cap="flat" cmpd="sng" algn="ctr">
        <a:solidFill>
          <a:schemeClr val="dk1">
            <a:lumMod val="15000"/>
            <a:lumOff val="85000"/>
          </a:schemeClr>
        </a:solidFill>
        <a:round/>
      </a:ln>
    </cs:spPr>
    <cs:defRPr sz="900" b="0" kern="1200" spc="20" baseline="0"/>
  </cs:categoryAxis>
  <cs:chartArea mods="allowNoLineOverride">
    <cs:lnRef idx="0"/>
    <cs:fillRef idx="0"/>
    <cs:effectRef idx="0"/>
    <cs:fontRef idx="minor">
      <a:schemeClr val="dk1"/>
    </cs:fontRef>
    <cs:spPr>
      <a:solidFill>
        <a:schemeClr val="lt1"/>
      </a:solidFill>
      <a:ln w="9525" cap="flat" cmpd="sng" algn="ctr">
        <a:solidFill>
          <a:schemeClr val="dk1">
            <a:lumMod val="15000"/>
            <a:lumOff val="85000"/>
          </a:schemeClr>
        </a:solidFill>
        <a:round/>
      </a:ln>
    </cs:spPr>
    <cs:defRPr sz="900" kern="1200"/>
  </cs:chartArea>
  <cs:dataLabel>
    <cs:lnRef idx="0"/>
    <cs:fillRef idx="0"/>
    <cs:effectRef idx="0"/>
    <cs:fontRef idx="minor">
      <a:schemeClr val="dk1">
        <a:lumMod val="65000"/>
        <a:lumOff val="3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2">
      <cs:styleClr val="auto"/>
    </cs:fillRef>
    <cs:effectRef idx="1"/>
    <cs:fontRef idx="minor">
      <a:schemeClr val="dk1"/>
    </cs:fontRef>
    <cs:spPr>
      <a:ln w="9525" cap="flat" cmpd="sng" algn="ctr">
        <a:solidFill>
          <a:schemeClr val="phClr">
            <a:shade val="95000"/>
          </a:schemeClr>
        </a:solidFill>
        <a:round/>
      </a:ln>
    </cs:spPr>
  </cs:dataPoint>
  <cs:dataPoint3D>
    <cs:lnRef idx="0">
      <cs:styleClr val="auto"/>
    </cs:lnRef>
    <cs:fillRef idx="2">
      <cs:styleClr val="auto"/>
    </cs:fillRef>
    <cs:effectRef idx="1"/>
    <cs:fontRef idx="minor">
      <a:schemeClr val="dk1"/>
    </cs:fontRef>
    <cs:spPr>
      <a:ln w="9525" cap="flat" cmpd="sng" algn="ctr">
        <a:solidFill>
          <a:schemeClr val="phClr">
            <a:shade val="95000"/>
          </a:schemeClr>
        </a:solidFill>
        <a:round/>
      </a:ln>
    </cs:spPr>
  </cs:dataPoint3D>
  <cs:dataPointLine>
    <cs:lnRef idx="0">
      <cs:styleClr val="auto"/>
    </cs:lnRef>
    <cs:fillRef idx="0"/>
    <cs:effectRef idx="0"/>
    <cs:fontRef idx="minor">
      <a:schemeClr val="dk1"/>
    </cs:fontRef>
    <cs:spPr>
      <a:ln w="22225" cap="rnd" cmpd="sng" algn="ctr">
        <a:solidFill>
          <a:schemeClr val="phClr"/>
        </a:solidFill>
        <a:round/>
      </a:ln>
    </cs:spPr>
  </cs:dataPointLine>
  <cs:dataPointMarker>
    <cs:lnRef idx="0">
      <cs:styleClr val="auto"/>
    </cs:lnRef>
    <cs:fillRef idx="0">
      <cs:styleClr val="auto"/>
    </cs:fillRef>
    <cs:effectRef idx="0"/>
    <cs:fontRef idx="minor">
      <a:schemeClr val="dk1"/>
    </cs:fontRef>
    <cs:spPr>
      <a:solidFill>
        <a:schemeClr val="phClr"/>
      </a:solidFill>
      <a:ln w="9525" cap="flat" cmpd="sng" algn="ctr">
        <a:solidFill>
          <a:schemeClr val="phClr"/>
        </a:solidFill>
        <a:round/>
      </a:ln>
    </cs:spPr>
  </cs:dataPointMarker>
  <cs:dataPointMarkerLayout symbol="circle" size="4"/>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65000"/>
        <a:lumOff val="35000"/>
      </a:schemeClr>
    </cs:fontRef>
    <cs:spPr>
      <a:ln w="9525">
        <a:solidFill>
          <a:schemeClr val="dk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dk1">
            <a:lumMod val="65000"/>
            <a:lumOff val="35000"/>
          </a:schemeClr>
        </a:solidFill>
      </a:ln>
    </cs:spPr>
  </cs:downBar>
  <cs:dropLine>
    <cs:lnRef idx="0"/>
    <cs:fillRef idx="0"/>
    <cs:effectRef idx="0"/>
    <cs:fontRef idx="minor">
      <a:schemeClr val="dk1"/>
    </cs:fontRef>
    <cs:spPr>
      <a:ln w="9525" cap="flat" cmpd="sng" algn="ctr">
        <a:solidFill>
          <a:schemeClr val="dk1">
            <a:lumMod val="35000"/>
            <a:lumOff val="65000"/>
            <a:alpha val="33000"/>
          </a:schemeClr>
        </a:solidFill>
        <a:round/>
      </a:ln>
    </cs:spPr>
  </cs:dropLine>
  <cs:errorBar>
    <cs:lnRef idx="0"/>
    <cs:fillRef idx="0"/>
    <cs:effectRef idx="0"/>
    <cs:fontRef idx="minor">
      <a:schemeClr val="dk1"/>
    </cs:fontRef>
    <cs:spPr>
      <a:ln w="9525">
        <a:solidFill>
          <a:schemeClr val="dk1">
            <a:lumMod val="65000"/>
            <a:lumOff val="35000"/>
          </a:schemeClr>
        </a:solidFill>
      </a:ln>
    </cs:spPr>
  </cs:errorBar>
  <cs:floor>
    <cs:lnRef idx="0"/>
    <cs:fillRef idx="0"/>
    <cs:effectRef idx="0"/>
    <cs:fontRef idx="minor">
      <a:schemeClr val="dk1"/>
    </cs:fontRef>
  </cs:floor>
  <cs:gridlineMajor>
    <cs:lnRef idx="0"/>
    <cs:fillRef idx="0"/>
    <cs:effectRef idx="0"/>
    <cs:fontRef idx="minor">
      <a:schemeClr val="dk1"/>
    </cs:fontRef>
    <cs:spPr>
      <a:ln>
        <a:solidFill>
          <a:schemeClr val="dk1">
            <a:lumMod val="15000"/>
            <a:lumOff val="85000"/>
          </a:schemeClr>
        </a:solidFill>
      </a:ln>
    </cs:spPr>
  </cs:gridlineMajor>
  <cs:gridlineMinor>
    <cs:lnRef idx="0"/>
    <cs:fillRef idx="0"/>
    <cs:effectRef idx="0"/>
    <cs:fontRef idx="minor">
      <a:schemeClr val="dk1"/>
    </cs:fontRef>
    <cs:spPr>
      <a:ln>
        <a:solidFill>
          <a:schemeClr val="dk1">
            <a:lumMod val="5000"/>
            <a:lumOff val="95000"/>
          </a:schemeClr>
        </a:solidFill>
      </a:ln>
    </cs:spPr>
  </cs:gridlineMinor>
  <cs:hiLoLine>
    <cs:lnRef idx="0"/>
    <cs:fillRef idx="0"/>
    <cs:effectRef idx="0"/>
    <cs:fontRef idx="minor">
      <a:schemeClr val="dk1"/>
    </cs:fontRef>
    <cs:spPr>
      <a:ln w="9525">
        <a:solidFill>
          <a:schemeClr val="dk1">
            <a:lumMod val="35000"/>
            <a:lumOff val="65000"/>
          </a:schemeClr>
        </a:solidFill>
      </a:ln>
    </cs:spPr>
  </cs:hiLoLine>
  <cs:leaderLine>
    <cs:lnRef idx="0"/>
    <cs:fillRef idx="0"/>
    <cs:effectRef idx="0"/>
    <cs:fontRef idx="minor">
      <a:schemeClr val="dk1"/>
    </cs:fontRef>
    <cs:spPr>
      <a:ln w="9525">
        <a:solidFill>
          <a:schemeClr val="dk1">
            <a:lumMod val="35000"/>
            <a:lumOff val="65000"/>
          </a:schemeClr>
        </a:solidFill>
      </a:ln>
    </cs:spPr>
  </cs:leaderLine>
  <cs:legend>
    <cs:lnRef idx="0"/>
    <cs:fillRef idx="0"/>
    <cs:effectRef idx="0"/>
    <cs:fontRef idx="minor">
      <a:schemeClr val="dk1">
        <a:lumMod val="65000"/>
        <a:lumOff val="35000"/>
      </a:schemeClr>
    </cs:fontRef>
    <cs:defRPr sz="900" kern="1200"/>
  </cs:legend>
  <cs:plotArea>
    <cs:lnRef idx="0"/>
    <cs:fillRef idx="0"/>
    <cs:effectRef idx="0"/>
    <cs:fontRef idx="minor">
      <a:schemeClr val="dk1"/>
    </cs:fontRef>
    <cs:spPr>
      <a:gradFill>
        <a:gsLst>
          <a:gs pos="100000">
            <a:schemeClr val="lt1">
              <a:lumMod val="95000"/>
            </a:schemeClr>
          </a:gs>
          <a:gs pos="0">
            <a:schemeClr val="lt1"/>
          </a:gs>
        </a:gsLst>
        <a:lin ang="5400000" scaled="0"/>
      </a:gradFill>
    </cs:spPr>
  </cs:plotArea>
  <cs:plotArea3D>
    <cs:lnRef idx="0"/>
    <cs:fillRef idx="0"/>
    <cs:effectRef idx="0"/>
    <cs:fontRef idx="minor">
      <a:schemeClr val="dk1"/>
    </cs:fontRef>
  </cs:plotArea3D>
  <cs:seriesAxis>
    <cs:lnRef idx="0"/>
    <cs:fillRef idx="0"/>
    <cs:effectRef idx="0"/>
    <cs:fontRef idx="minor">
      <a:schemeClr val="dk1">
        <a:lumMod val="65000"/>
        <a:lumOff val="35000"/>
      </a:schemeClr>
    </cs:fontRef>
    <cs:spPr>
      <a:ln w="9525" cap="flat" cmpd="sng" algn="ctr">
        <a:solidFill>
          <a:schemeClr val="dk1">
            <a:lumMod val="15000"/>
            <a:lumOff val="85000"/>
          </a:schemeClr>
        </a:solidFill>
        <a:round/>
      </a:ln>
    </cs:spPr>
    <cs:defRPr sz="900" kern="1200"/>
  </cs:seriesAxis>
  <cs:seriesLine>
    <cs:lnRef idx="0"/>
    <cs:fillRef idx="0"/>
    <cs:effectRef idx="0"/>
    <cs:fontRef idx="minor">
      <a:schemeClr val="dk1"/>
    </cs:fontRef>
    <cs:spPr>
      <a:ln w="9525">
        <a:solidFill>
          <a:schemeClr val="dk1">
            <a:lumMod val="35000"/>
            <a:lumOff val="65000"/>
          </a:schemeClr>
        </a:solidFill>
        <a:prstDash val="dash"/>
      </a:ln>
    </cs:spPr>
  </cs:seriesLine>
  <cs:title>
    <cs:lnRef idx="0"/>
    <cs:fillRef idx="0"/>
    <cs:effectRef idx="0"/>
    <cs:fontRef idx="minor">
      <a:schemeClr val="dk1">
        <a:lumMod val="50000"/>
        <a:lumOff val="50000"/>
      </a:schemeClr>
    </cs:fontRef>
    <cs:defRPr sz="1400" kern="1200" cap="none" spc="20" baseline="0"/>
  </cs:title>
  <cs:trendline>
    <cs:lnRef idx="0">
      <cs:styleClr val="auto"/>
    </cs:lnRef>
    <cs:fillRef idx="0"/>
    <cs:effectRef idx="0"/>
    <cs:fontRef idx="minor">
      <a:schemeClr val="dk1"/>
    </cs:fontRef>
    <cs:spPr>
      <a:ln w="9525" cap="rnd">
        <a:solidFill>
          <a:schemeClr val="phClr"/>
        </a:solidFill>
      </a:ln>
    </cs:spPr>
  </cs:trendline>
  <cs:trendlineLabel>
    <cs:lnRef idx="0"/>
    <cs:fillRef idx="0"/>
    <cs:effectRef idx="0"/>
    <cs:fontRef idx="minor">
      <a:schemeClr val="dk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65000"/>
        <a:lumOff val="35000"/>
      </a:schemeClr>
    </cs:fontRef>
    <cs:defRPr sz="900" kern="1200" spc="20" baseline="0"/>
  </cs:valueAxis>
  <cs:wall>
    <cs:lnRef idx="0"/>
    <cs:fillRef idx="0"/>
    <cs:effectRef idx="0"/>
    <cs:fontRef idx="minor">
      <a:schemeClr val="dk1"/>
    </cs:fontRef>
  </cs:wall>
</cs:chartStyle>
</file>

<file path=xl/charts/style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Radio" checked="Checked" firstButton="1" fmlaLink="$T$12" lockText="1" noThreeD="1"/>
</file>

<file path=xl/ctrlProps/ctrlProp2.xml><?xml version="1.0" encoding="utf-8"?>
<formControlPr xmlns="http://schemas.microsoft.com/office/spreadsheetml/2009/9/main" objectType="Radio" lockText="1" noThreeD="1"/>
</file>

<file path=xl/ctrlProps/ctrlProp3.xml><?xml version="1.0" encoding="utf-8"?>
<formControlPr xmlns="http://schemas.microsoft.com/office/spreadsheetml/2009/9/main" objectType="Radio" lockText="1" noThreeD="1"/>
</file>

<file path=xl/ctrlProps/ctrlProp4.xml><?xml version="1.0" encoding="utf-8"?>
<formControlPr xmlns="http://schemas.microsoft.com/office/spreadsheetml/2009/9/main" objectType="Radio" lockText="1" noThreeD="1"/>
</file>

<file path=xl/ctrlProps/ctrlProp5.xml><?xml version="1.0" encoding="utf-8"?>
<formControlPr xmlns="http://schemas.microsoft.com/office/spreadsheetml/2009/9/main" objectType="Radio" lockText="1" noThreeD="1"/>
</file>

<file path=xl/ctrlProps/ctrlProp6.xml><?xml version="1.0" encoding="utf-8"?>
<formControlPr xmlns="http://schemas.microsoft.com/office/spreadsheetml/2009/9/main" objectType="Radio" lockText="1" noThreeD="1"/>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3.xml.rels><?xml version="1.0" encoding="UTF-8" standalone="yes"?>
<Relationships xmlns="http://schemas.openxmlformats.org/package/2006/relationships"><Relationship Id="rId1" Type="http://schemas.openxmlformats.org/officeDocument/2006/relationships/chart" Target="../charts/chart2.xml"/></Relationships>
</file>

<file path=xl/drawings/_rels/drawing4.xml.rels><?xml version="1.0" encoding="UTF-8" standalone="yes"?>
<Relationships xmlns="http://schemas.openxmlformats.org/package/2006/relationships"><Relationship Id="rId2" Type="http://schemas.openxmlformats.org/officeDocument/2006/relationships/image" Target="../media/image1.emf"/><Relationship Id="rId1" Type="http://schemas.openxmlformats.org/officeDocument/2006/relationships/chart" Target="../charts/chart3.xml"/></Relationships>
</file>

<file path=xl/drawings/_rels/vmlDrawing2.vml.rels><?xml version="1.0" encoding="UTF-8" standalone="yes"?>
<Relationships xmlns="http://schemas.openxmlformats.org/package/2006/relationships"><Relationship Id="rId1" Type="http://schemas.openxmlformats.org/officeDocument/2006/relationships/image" Target="../media/image2.emf"/></Relationships>
</file>

<file path=xl/drawings/drawing1.xml><?xml version="1.0" encoding="utf-8"?>
<xdr:wsDr xmlns:xdr="http://schemas.openxmlformats.org/drawingml/2006/spreadsheetDrawing" xmlns:a="http://schemas.openxmlformats.org/drawingml/2006/main">
  <xdr:twoCellAnchor>
    <xdr:from>
      <xdr:col>15</xdr:col>
      <xdr:colOff>298886</xdr:colOff>
      <xdr:row>55</xdr:row>
      <xdr:rowOff>171180</xdr:rowOff>
    </xdr:from>
    <xdr:to>
      <xdr:col>21</xdr:col>
      <xdr:colOff>-1</xdr:colOff>
      <xdr:row>68</xdr:row>
      <xdr:rowOff>158994</xdr:rowOff>
    </xdr:to>
    <xdr:sp macro="" textlink="">
      <xdr:nvSpPr>
        <xdr:cNvPr id="2" name="TextBox 1">
          <a:extLst>
            <a:ext uri="{FF2B5EF4-FFF2-40B4-BE49-F238E27FC236}">
              <a16:creationId xmlns:a16="http://schemas.microsoft.com/office/drawing/2014/main" id="{00000000-0008-0000-0100-000002000000}"/>
            </a:ext>
          </a:extLst>
        </xdr:cNvPr>
        <xdr:cNvSpPr txBox="1"/>
      </xdr:nvSpPr>
      <xdr:spPr>
        <a:xfrm>
          <a:off x="14695924" y="10215293"/>
          <a:ext cx="3892113" cy="2383351"/>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defTabSz="914400" eaLnBrk="1" fontAlgn="auto" latinLnBrk="0" hangingPunct="1">
            <a:lnSpc>
              <a:spcPct val="100000"/>
            </a:lnSpc>
            <a:spcBef>
              <a:spcPts val="0"/>
            </a:spcBef>
            <a:spcAft>
              <a:spcPts val="0"/>
            </a:spcAft>
            <a:buClrTx/>
            <a:buSzTx/>
            <a:buFontTx/>
            <a:buNone/>
            <a:tabLst/>
            <a:defRPr/>
          </a:pPr>
          <a:r>
            <a:rPr lang="en-US" sz="1100">
              <a:solidFill>
                <a:schemeClr val="dk1"/>
              </a:solidFill>
              <a:effectLst/>
              <a:latin typeface="+mn-lt"/>
              <a:ea typeface="+mn-ea"/>
              <a:cs typeface="+mn-cs"/>
            </a:rPr>
            <a:t>a) </a:t>
          </a:r>
        </a:p>
        <a:p>
          <a:pPr marL="0" marR="0" lvl="0" indent="0" defTabSz="914400" eaLnBrk="1" fontAlgn="auto" latinLnBrk="0" hangingPunct="1">
            <a:lnSpc>
              <a:spcPct val="100000"/>
            </a:lnSpc>
            <a:spcBef>
              <a:spcPts val="0"/>
            </a:spcBef>
            <a:spcAft>
              <a:spcPts val="0"/>
            </a:spcAft>
            <a:buClrTx/>
            <a:buSzTx/>
            <a:buFontTx/>
            <a:buNone/>
            <a:tabLst/>
            <a:defRPr/>
          </a:pPr>
          <a:r>
            <a:rPr lang="en-US" sz="1100">
              <a:solidFill>
                <a:schemeClr val="dk1"/>
              </a:solidFill>
              <a:effectLst/>
              <a:latin typeface="+mn-lt"/>
              <a:ea typeface="+mn-ea"/>
              <a:cs typeface="+mn-cs"/>
            </a:rPr>
            <a:t>6 months in</a:t>
          </a:r>
          <a:r>
            <a:rPr lang="en-US" sz="1100" baseline="0">
              <a:solidFill>
                <a:schemeClr val="dk1"/>
              </a:solidFill>
              <a:effectLst/>
              <a:latin typeface="+mn-lt"/>
              <a:ea typeface="+mn-ea"/>
              <a:cs typeface="+mn-cs"/>
            </a:rPr>
            <a:t> a row the company has a negative balance and is unable to pay the bills. The months are:</a:t>
          </a:r>
          <a:br>
            <a:rPr lang="en-US" sz="1100" baseline="0">
              <a:solidFill>
                <a:schemeClr val="dk1"/>
              </a:solidFill>
              <a:effectLst/>
              <a:latin typeface="+mn-lt"/>
              <a:ea typeface="+mn-ea"/>
              <a:cs typeface="+mn-cs"/>
            </a:rPr>
          </a:br>
          <a:r>
            <a:rPr lang="en-US" sz="1100" baseline="0">
              <a:solidFill>
                <a:schemeClr val="dk1"/>
              </a:solidFill>
              <a:effectLst/>
              <a:latin typeface="+mn-lt"/>
              <a:ea typeface="+mn-ea"/>
              <a:cs typeface="+mn-cs"/>
            </a:rPr>
            <a:t>2,3,4,5,6</a:t>
          </a:r>
          <a:endParaRPr lang="en-US">
            <a:effectLst/>
          </a:endParaRPr>
        </a:p>
        <a:p>
          <a:endParaRPr lang="en-US" sz="1100"/>
        </a:p>
        <a:p>
          <a:r>
            <a:rPr lang="en-US" sz="1100"/>
            <a:t>6 months in</a:t>
          </a:r>
          <a:r>
            <a:rPr lang="en-US" sz="1100" baseline="0"/>
            <a:t> a row the company has to finance the liquidity to have a positive resulting liquidity. The months are: 2,3,4,5,6,7</a:t>
          </a:r>
          <a:endParaRPr lang="en-US" sz="1100"/>
        </a:p>
      </xdr:txBody>
    </xdr:sp>
    <xdr:clientData/>
  </xdr:twoCellAnchor>
  <mc:AlternateContent xmlns:mc="http://schemas.openxmlformats.org/markup-compatibility/2006">
    <mc:Choice xmlns:a14="http://schemas.microsoft.com/office/drawing/2010/main" Requires="a14">
      <xdr:twoCellAnchor editAs="oneCell">
        <xdr:from>
          <xdr:col>19</xdr:col>
          <xdr:colOff>304800</xdr:colOff>
          <xdr:row>12</xdr:row>
          <xdr:rowOff>0</xdr:rowOff>
        </xdr:from>
        <xdr:to>
          <xdr:col>19</xdr:col>
          <xdr:colOff>642938</xdr:colOff>
          <xdr:row>13</xdr:row>
          <xdr:rowOff>0</xdr:rowOff>
        </xdr:to>
        <xdr:sp macro="" textlink="">
          <xdr:nvSpPr>
            <xdr:cNvPr id="5121" name="Option Button 1" hidden="1">
              <a:extLst>
                <a:ext uri="{63B3BB69-23CF-44E3-9099-C40C66FF867C}">
                  <a14:compatExt spid="_x0000_s5121"/>
                </a:ext>
                <a:ext uri="{FF2B5EF4-FFF2-40B4-BE49-F238E27FC236}">
                  <a16:creationId xmlns:a16="http://schemas.microsoft.com/office/drawing/2014/main" id="{00000000-0008-0000-0100-0000011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304800</xdr:colOff>
          <xdr:row>12</xdr:row>
          <xdr:rowOff>152400</xdr:rowOff>
        </xdr:from>
        <xdr:to>
          <xdr:col>19</xdr:col>
          <xdr:colOff>642938</xdr:colOff>
          <xdr:row>13</xdr:row>
          <xdr:rowOff>190500</xdr:rowOff>
        </xdr:to>
        <xdr:sp macro="" textlink="">
          <xdr:nvSpPr>
            <xdr:cNvPr id="5122" name="Option Button 2" hidden="1">
              <a:extLst>
                <a:ext uri="{63B3BB69-23CF-44E3-9099-C40C66FF867C}">
                  <a14:compatExt spid="_x0000_s5122"/>
                </a:ext>
                <a:ext uri="{FF2B5EF4-FFF2-40B4-BE49-F238E27FC236}">
                  <a16:creationId xmlns:a16="http://schemas.microsoft.com/office/drawing/2014/main" id="{00000000-0008-0000-0100-0000021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304800</xdr:colOff>
          <xdr:row>13</xdr:row>
          <xdr:rowOff>161925</xdr:rowOff>
        </xdr:from>
        <xdr:to>
          <xdr:col>19</xdr:col>
          <xdr:colOff>642938</xdr:colOff>
          <xdr:row>15</xdr:row>
          <xdr:rowOff>0</xdr:rowOff>
        </xdr:to>
        <xdr:sp macro="" textlink="">
          <xdr:nvSpPr>
            <xdr:cNvPr id="5123" name="Option Button 3" hidden="1">
              <a:extLst>
                <a:ext uri="{63B3BB69-23CF-44E3-9099-C40C66FF867C}">
                  <a14:compatExt spid="_x0000_s5123"/>
                </a:ext>
                <a:ext uri="{FF2B5EF4-FFF2-40B4-BE49-F238E27FC236}">
                  <a16:creationId xmlns:a16="http://schemas.microsoft.com/office/drawing/2014/main" id="{00000000-0008-0000-0100-0000031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304800</xdr:colOff>
          <xdr:row>14</xdr:row>
          <xdr:rowOff>147638</xdr:rowOff>
        </xdr:from>
        <xdr:to>
          <xdr:col>19</xdr:col>
          <xdr:colOff>642938</xdr:colOff>
          <xdr:row>16</xdr:row>
          <xdr:rowOff>9525</xdr:rowOff>
        </xdr:to>
        <xdr:sp macro="" textlink="">
          <xdr:nvSpPr>
            <xdr:cNvPr id="5124" name="Option Button 4" hidden="1">
              <a:extLst>
                <a:ext uri="{63B3BB69-23CF-44E3-9099-C40C66FF867C}">
                  <a14:compatExt spid="_x0000_s5124"/>
                </a:ext>
                <a:ext uri="{FF2B5EF4-FFF2-40B4-BE49-F238E27FC236}">
                  <a16:creationId xmlns:a16="http://schemas.microsoft.com/office/drawing/2014/main" id="{00000000-0008-0000-0100-0000041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304800</xdr:colOff>
          <xdr:row>15</xdr:row>
          <xdr:rowOff>157163</xdr:rowOff>
        </xdr:from>
        <xdr:to>
          <xdr:col>19</xdr:col>
          <xdr:colOff>642938</xdr:colOff>
          <xdr:row>17</xdr:row>
          <xdr:rowOff>19050</xdr:rowOff>
        </xdr:to>
        <xdr:sp macro="" textlink="">
          <xdr:nvSpPr>
            <xdr:cNvPr id="5125" name="Option Button 5" hidden="1">
              <a:extLst>
                <a:ext uri="{63B3BB69-23CF-44E3-9099-C40C66FF867C}">
                  <a14:compatExt spid="_x0000_s5125"/>
                </a:ext>
                <a:ext uri="{FF2B5EF4-FFF2-40B4-BE49-F238E27FC236}">
                  <a16:creationId xmlns:a16="http://schemas.microsoft.com/office/drawing/2014/main" id="{00000000-0008-0000-0100-0000051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304800</xdr:colOff>
          <xdr:row>16</xdr:row>
          <xdr:rowOff>166688</xdr:rowOff>
        </xdr:from>
        <xdr:to>
          <xdr:col>19</xdr:col>
          <xdr:colOff>642938</xdr:colOff>
          <xdr:row>18</xdr:row>
          <xdr:rowOff>23813</xdr:rowOff>
        </xdr:to>
        <xdr:sp macro="" textlink="">
          <xdr:nvSpPr>
            <xdr:cNvPr id="5126" name="Option Button 6" hidden="1">
              <a:extLst>
                <a:ext uri="{63B3BB69-23CF-44E3-9099-C40C66FF867C}">
                  <a14:compatExt spid="_x0000_s5126"/>
                </a:ext>
                <a:ext uri="{FF2B5EF4-FFF2-40B4-BE49-F238E27FC236}">
                  <a16:creationId xmlns:a16="http://schemas.microsoft.com/office/drawing/2014/main" id="{00000000-0008-0000-0100-0000061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xdr:from>
      <xdr:col>22</xdr:col>
      <xdr:colOff>0</xdr:colOff>
      <xdr:row>19</xdr:row>
      <xdr:rowOff>0</xdr:rowOff>
    </xdr:from>
    <xdr:to>
      <xdr:col>25</xdr:col>
      <xdr:colOff>0</xdr:colOff>
      <xdr:row>32</xdr:row>
      <xdr:rowOff>0</xdr:rowOff>
    </xdr:to>
    <xdr:sp macro="" textlink="">
      <xdr:nvSpPr>
        <xdr:cNvPr id="4" name="TextBox 3">
          <a:extLst>
            <a:ext uri="{FF2B5EF4-FFF2-40B4-BE49-F238E27FC236}">
              <a16:creationId xmlns:a16="http://schemas.microsoft.com/office/drawing/2014/main" id="{00000000-0008-0000-0100-000004000000}"/>
            </a:ext>
          </a:extLst>
        </xdr:cNvPr>
        <xdr:cNvSpPr txBox="1"/>
      </xdr:nvSpPr>
      <xdr:spPr>
        <a:xfrm>
          <a:off x="20344280" y="3445809"/>
          <a:ext cx="5563720" cy="2358838"/>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d) If rennovation stays at 4 months and rent delays are experience</a:t>
          </a:r>
          <a:r>
            <a:rPr lang="en-US" sz="1100" baseline="0"/>
            <a:t>d, the overall money extra money needed increases.</a:t>
          </a:r>
          <a:endParaRPr lang="en-US" sz="1100"/>
        </a:p>
        <a:p>
          <a:endParaRPr lang="en-US" sz="1100"/>
        </a:p>
        <a:p>
          <a:r>
            <a:rPr lang="en-US" sz="1100"/>
            <a:t>e)</a:t>
          </a:r>
          <a:r>
            <a:rPr lang="en-US" sz="1100" baseline="0"/>
            <a:t> Assuming no delay in renting the extra money needed decreases as the number of months the maintenance takes decreases.</a:t>
          </a:r>
        </a:p>
        <a:p>
          <a:endParaRPr lang="en-US" sz="1100" baseline="0"/>
        </a:p>
        <a:p>
          <a:r>
            <a:rPr lang="en-US" sz="1100" baseline="0"/>
            <a:t>f) If 2 month delay is assumed the overall money needed increases drastically showcasing a major problem in the cash flow. this is also expected because apartment 3 collects the highest rent. A delay strongly affects total revenue for the year and subsequently requires more injection of cash by the company.</a:t>
          </a:r>
        </a:p>
        <a:p>
          <a:endParaRPr lang="en-US" sz="1100"/>
        </a:p>
        <a:p>
          <a:r>
            <a:rPr lang="en-US" sz="1100"/>
            <a:t>g) As a manager I would choose a</a:t>
          </a:r>
          <a:r>
            <a:rPr lang="en-US" sz="1100" baseline="0"/>
            <a:t> rennovation of 2 months as it requires the least amount of cash  injection</a:t>
          </a:r>
          <a:endParaRPr lang="en-US" sz="1100"/>
        </a:p>
      </xdr:txBody>
    </xdr:sp>
    <xdr:clientData/>
  </xdr:twoCellAnchor>
  <xdr:twoCellAnchor>
    <xdr:from>
      <xdr:col>4</xdr:col>
      <xdr:colOff>646339</xdr:colOff>
      <xdr:row>55</xdr:row>
      <xdr:rowOff>81643</xdr:rowOff>
    </xdr:from>
    <xdr:to>
      <xdr:col>13</xdr:col>
      <xdr:colOff>734784</xdr:colOff>
      <xdr:row>84</xdr:row>
      <xdr:rowOff>0</xdr:rowOff>
    </xdr:to>
    <xdr:graphicFrame macro="">
      <xdr:nvGraphicFramePr>
        <xdr:cNvPr id="5" name="Chart 4">
          <a:extLst>
            <a:ext uri="{FF2B5EF4-FFF2-40B4-BE49-F238E27FC236}">
              <a16:creationId xmlns:a16="http://schemas.microsoft.com/office/drawing/2014/main" id="{00000000-0008-0000-01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17</xdr:col>
      <xdr:colOff>298886</xdr:colOff>
      <xdr:row>55</xdr:row>
      <xdr:rowOff>171180</xdr:rowOff>
    </xdr:from>
    <xdr:to>
      <xdr:col>23</xdr:col>
      <xdr:colOff>-1</xdr:colOff>
      <xdr:row>68</xdr:row>
      <xdr:rowOff>158994</xdr:rowOff>
    </xdr:to>
    <xdr:sp macro="" textlink="">
      <xdr:nvSpPr>
        <xdr:cNvPr id="2" name="TextBox 1">
          <a:extLst>
            <a:ext uri="{FF2B5EF4-FFF2-40B4-BE49-F238E27FC236}">
              <a16:creationId xmlns:a16="http://schemas.microsoft.com/office/drawing/2014/main" id="{00000000-0008-0000-0400-000002000000}"/>
            </a:ext>
          </a:extLst>
        </xdr:cNvPr>
        <xdr:cNvSpPr txBox="1"/>
      </xdr:nvSpPr>
      <xdr:spPr>
        <a:xfrm>
          <a:off x="14695924" y="10215293"/>
          <a:ext cx="3892113" cy="2383351"/>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defTabSz="914400" eaLnBrk="1" fontAlgn="auto" latinLnBrk="0" hangingPunct="1">
            <a:lnSpc>
              <a:spcPct val="100000"/>
            </a:lnSpc>
            <a:spcBef>
              <a:spcPts val="0"/>
            </a:spcBef>
            <a:spcAft>
              <a:spcPts val="0"/>
            </a:spcAft>
            <a:buClrTx/>
            <a:buSzTx/>
            <a:buFontTx/>
            <a:buNone/>
            <a:tabLst/>
            <a:defRPr/>
          </a:pPr>
          <a:r>
            <a:rPr lang="en-US" sz="1100">
              <a:solidFill>
                <a:schemeClr val="dk1"/>
              </a:solidFill>
              <a:effectLst/>
              <a:latin typeface="+mn-lt"/>
              <a:ea typeface="+mn-ea"/>
              <a:cs typeface="+mn-cs"/>
            </a:rPr>
            <a:t>a) </a:t>
          </a:r>
        </a:p>
        <a:p>
          <a:pPr marL="0" marR="0" lvl="0" indent="0" defTabSz="914400" eaLnBrk="1" fontAlgn="auto" latinLnBrk="0" hangingPunct="1">
            <a:lnSpc>
              <a:spcPct val="100000"/>
            </a:lnSpc>
            <a:spcBef>
              <a:spcPts val="0"/>
            </a:spcBef>
            <a:spcAft>
              <a:spcPts val="0"/>
            </a:spcAft>
            <a:buClrTx/>
            <a:buSzTx/>
            <a:buFontTx/>
            <a:buNone/>
            <a:tabLst/>
            <a:defRPr/>
          </a:pPr>
          <a:r>
            <a:rPr lang="en-US" sz="1100">
              <a:solidFill>
                <a:schemeClr val="dk1"/>
              </a:solidFill>
              <a:effectLst/>
              <a:latin typeface="+mn-lt"/>
              <a:ea typeface="+mn-ea"/>
              <a:cs typeface="+mn-cs"/>
            </a:rPr>
            <a:t>6 months in</a:t>
          </a:r>
          <a:r>
            <a:rPr lang="en-US" sz="1100" baseline="0">
              <a:solidFill>
                <a:schemeClr val="dk1"/>
              </a:solidFill>
              <a:effectLst/>
              <a:latin typeface="+mn-lt"/>
              <a:ea typeface="+mn-ea"/>
              <a:cs typeface="+mn-cs"/>
            </a:rPr>
            <a:t> a row the company has a negative balance and is unable to pay the bills. The months are:</a:t>
          </a:r>
          <a:br>
            <a:rPr lang="en-US" sz="1100" baseline="0">
              <a:solidFill>
                <a:schemeClr val="dk1"/>
              </a:solidFill>
              <a:effectLst/>
              <a:latin typeface="+mn-lt"/>
              <a:ea typeface="+mn-ea"/>
              <a:cs typeface="+mn-cs"/>
            </a:rPr>
          </a:br>
          <a:r>
            <a:rPr lang="en-US" sz="1100" baseline="0">
              <a:solidFill>
                <a:schemeClr val="dk1"/>
              </a:solidFill>
              <a:effectLst/>
              <a:latin typeface="+mn-lt"/>
              <a:ea typeface="+mn-ea"/>
              <a:cs typeface="+mn-cs"/>
            </a:rPr>
            <a:t>2,3,4,5,6</a:t>
          </a:r>
          <a:endParaRPr lang="en-US">
            <a:effectLst/>
          </a:endParaRPr>
        </a:p>
        <a:p>
          <a:endParaRPr lang="en-US" sz="1100"/>
        </a:p>
        <a:p>
          <a:r>
            <a:rPr lang="en-US" sz="1100"/>
            <a:t>6 months in</a:t>
          </a:r>
          <a:r>
            <a:rPr lang="en-US" sz="1100" baseline="0"/>
            <a:t> a row the company has to finance the liquidity to have a positive resulting liquidity. The months are: 2,3,4,5,6,7</a:t>
          </a:r>
          <a:endParaRPr lang="en-US" sz="1100"/>
        </a:p>
      </xdr:txBody>
    </xdr:sp>
    <xdr:clientData/>
  </xdr:twoCellAnchor>
  <xdr:twoCellAnchor>
    <xdr:from>
      <xdr:col>5</xdr:col>
      <xdr:colOff>6803</xdr:colOff>
      <xdr:row>19</xdr:row>
      <xdr:rowOff>27215</xdr:rowOff>
    </xdr:from>
    <xdr:to>
      <xdr:col>6</xdr:col>
      <xdr:colOff>380999</xdr:colOff>
      <xdr:row>22</xdr:row>
      <xdr:rowOff>136071</xdr:rowOff>
    </xdr:to>
    <xdr:sp macro="[0]!bree" textlink="">
      <xdr:nvSpPr>
        <xdr:cNvPr id="4" name="Rectangle: Rounded Corners 3">
          <a:extLst>
            <a:ext uri="{FF2B5EF4-FFF2-40B4-BE49-F238E27FC236}">
              <a16:creationId xmlns:a16="http://schemas.microsoft.com/office/drawing/2014/main" id="{00000000-0008-0000-0400-000004000000}"/>
            </a:ext>
          </a:extLst>
        </xdr:cNvPr>
        <xdr:cNvSpPr/>
      </xdr:nvSpPr>
      <xdr:spPr>
        <a:xfrm>
          <a:off x="6218464" y="3701144"/>
          <a:ext cx="1653268" cy="659946"/>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400"/>
            <a:t>Conduct</a:t>
          </a:r>
          <a:r>
            <a:rPr lang="en-US" sz="1400" baseline="0"/>
            <a:t> Breakeven Analysis</a:t>
          </a:r>
          <a:endParaRPr lang="en-US" sz="1400"/>
        </a:p>
      </xdr:txBody>
    </xdr:sp>
    <xdr:clientData/>
  </xdr:twoCellAnchor>
  <xdr:twoCellAnchor>
    <xdr:from>
      <xdr:col>5</xdr:col>
      <xdr:colOff>6803</xdr:colOff>
      <xdr:row>14</xdr:row>
      <xdr:rowOff>13608</xdr:rowOff>
    </xdr:from>
    <xdr:to>
      <xdr:col>6</xdr:col>
      <xdr:colOff>380999</xdr:colOff>
      <xdr:row>17</xdr:row>
      <xdr:rowOff>122465</xdr:rowOff>
    </xdr:to>
    <xdr:sp macro="[0]!default" textlink="">
      <xdr:nvSpPr>
        <xdr:cNvPr id="5" name="Rectangle: Rounded Corners 4">
          <a:extLst>
            <a:ext uri="{FF2B5EF4-FFF2-40B4-BE49-F238E27FC236}">
              <a16:creationId xmlns:a16="http://schemas.microsoft.com/office/drawing/2014/main" id="{00000000-0008-0000-0400-000005000000}"/>
            </a:ext>
          </a:extLst>
        </xdr:cNvPr>
        <xdr:cNvSpPr/>
      </xdr:nvSpPr>
      <xdr:spPr>
        <a:xfrm>
          <a:off x="6218464" y="2769055"/>
          <a:ext cx="1653268" cy="659946"/>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400"/>
            <a:t>Reset %INC</a:t>
          </a:r>
        </a:p>
      </xdr:txBody>
    </xdr:sp>
    <xdr:clientData/>
  </xdr:twoCellAnchor>
  <xdr:twoCellAnchor>
    <xdr:from>
      <xdr:col>4</xdr:col>
      <xdr:colOff>231322</xdr:colOff>
      <xdr:row>24</xdr:row>
      <xdr:rowOff>163284</xdr:rowOff>
    </xdr:from>
    <xdr:to>
      <xdr:col>6</xdr:col>
      <xdr:colOff>761999</xdr:colOff>
      <xdr:row>50</xdr:row>
      <xdr:rowOff>40820</xdr:rowOff>
    </xdr:to>
    <xdr:sp macro="" textlink="">
      <xdr:nvSpPr>
        <xdr:cNvPr id="7" name="TextBox 6">
          <a:extLst>
            <a:ext uri="{FF2B5EF4-FFF2-40B4-BE49-F238E27FC236}">
              <a16:creationId xmlns:a16="http://schemas.microsoft.com/office/drawing/2014/main" id="{00000000-0008-0000-0400-000007000000}"/>
            </a:ext>
          </a:extLst>
        </xdr:cNvPr>
        <xdr:cNvSpPr txBox="1"/>
      </xdr:nvSpPr>
      <xdr:spPr>
        <a:xfrm>
          <a:off x="5565322" y="4755695"/>
          <a:ext cx="2687410" cy="4653644"/>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In general, Goal Seek is beneficial when you want to accomplish a specific result but only need to change one input value. It has uses in financial modeling, budgeting, and forecasting, as well as scientific and technical applications.But, use Goal Seek with caution because it is a rudimentary optimization tool that just adjusts a single input variable to achieve a desired result. It does not consider all of the possible aspects that may influence the output, and it may not always provide the best option.</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15</xdr:col>
      <xdr:colOff>298886</xdr:colOff>
      <xdr:row>55</xdr:row>
      <xdr:rowOff>171180</xdr:rowOff>
    </xdr:from>
    <xdr:to>
      <xdr:col>21</xdr:col>
      <xdr:colOff>-1</xdr:colOff>
      <xdr:row>68</xdr:row>
      <xdr:rowOff>158994</xdr:rowOff>
    </xdr:to>
    <xdr:sp macro="" textlink="">
      <xdr:nvSpPr>
        <xdr:cNvPr id="3" name="TextBox 2">
          <a:extLst>
            <a:ext uri="{FF2B5EF4-FFF2-40B4-BE49-F238E27FC236}">
              <a16:creationId xmlns:a16="http://schemas.microsoft.com/office/drawing/2014/main" id="{00000000-0008-0000-0500-000003000000}"/>
            </a:ext>
          </a:extLst>
        </xdr:cNvPr>
        <xdr:cNvSpPr txBox="1"/>
      </xdr:nvSpPr>
      <xdr:spPr>
        <a:xfrm>
          <a:off x="14693544" y="10184338"/>
          <a:ext cx="3892113" cy="239287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defTabSz="914400" eaLnBrk="1" fontAlgn="auto" latinLnBrk="0" hangingPunct="1">
            <a:lnSpc>
              <a:spcPct val="100000"/>
            </a:lnSpc>
            <a:spcBef>
              <a:spcPts val="0"/>
            </a:spcBef>
            <a:spcAft>
              <a:spcPts val="0"/>
            </a:spcAft>
            <a:buClrTx/>
            <a:buSzTx/>
            <a:buFontTx/>
            <a:buNone/>
            <a:tabLst/>
            <a:defRPr/>
          </a:pPr>
          <a:r>
            <a:rPr lang="en-US" sz="1100">
              <a:solidFill>
                <a:schemeClr val="dk1"/>
              </a:solidFill>
              <a:effectLst/>
              <a:latin typeface="+mn-lt"/>
              <a:ea typeface="+mn-ea"/>
              <a:cs typeface="+mn-cs"/>
            </a:rPr>
            <a:t>a) </a:t>
          </a:r>
        </a:p>
        <a:p>
          <a:pPr marL="0" marR="0" lvl="0" indent="0" defTabSz="914400" eaLnBrk="1" fontAlgn="auto" latinLnBrk="0" hangingPunct="1">
            <a:lnSpc>
              <a:spcPct val="100000"/>
            </a:lnSpc>
            <a:spcBef>
              <a:spcPts val="0"/>
            </a:spcBef>
            <a:spcAft>
              <a:spcPts val="0"/>
            </a:spcAft>
            <a:buClrTx/>
            <a:buSzTx/>
            <a:buFontTx/>
            <a:buNone/>
            <a:tabLst/>
            <a:defRPr/>
          </a:pPr>
          <a:r>
            <a:rPr lang="en-US" sz="1100">
              <a:solidFill>
                <a:schemeClr val="dk1"/>
              </a:solidFill>
              <a:effectLst/>
              <a:latin typeface="+mn-lt"/>
              <a:ea typeface="+mn-ea"/>
              <a:cs typeface="+mn-cs"/>
            </a:rPr>
            <a:t>6 months in</a:t>
          </a:r>
          <a:r>
            <a:rPr lang="en-US" sz="1100" baseline="0">
              <a:solidFill>
                <a:schemeClr val="dk1"/>
              </a:solidFill>
              <a:effectLst/>
              <a:latin typeface="+mn-lt"/>
              <a:ea typeface="+mn-ea"/>
              <a:cs typeface="+mn-cs"/>
            </a:rPr>
            <a:t> a row the company has a negative balance and is unable to pay the bills. The months are:</a:t>
          </a:r>
          <a:br>
            <a:rPr lang="en-US" sz="1100" baseline="0">
              <a:solidFill>
                <a:schemeClr val="dk1"/>
              </a:solidFill>
              <a:effectLst/>
              <a:latin typeface="+mn-lt"/>
              <a:ea typeface="+mn-ea"/>
              <a:cs typeface="+mn-cs"/>
            </a:rPr>
          </a:br>
          <a:r>
            <a:rPr lang="en-US" sz="1100" baseline="0">
              <a:solidFill>
                <a:schemeClr val="dk1"/>
              </a:solidFill>
              <a:effectLst/>
              <a:latin typeface="+mn-lt"/>
              <a:ea typeface="+mn-ea"/>
              <a:cs typeface="+mn-cs"/>
            </a:rPr>
            <a:t>2,3,4,5,6</a:t>
          </a:r>
          <a:endParaRPr lang="en-US">
            <a:effectLst/>
          </a:endParaRPr>
        </a:p>
        <a:p>
          <a:endParaRPr lang="en-US" sz="1100"/>
        </a:p>
        <a:p>
          <a:r>
            <a:rPr lang="en-US" sz="1100"/>
            <a:t>6 months in</a:t>
          </a:r>
          <a:r>
            <a:rPr lang="en-US" sz="1100" baseline="0"/>
            <a:t> a row the company has to finance the liquidity to have a positive resulting liquidity. The months are: 2,3,4,5,6,7</a:t>
          </a:r>
          <a:endParaRPr lang="en-US" sz="1100"/>
        </a:p>
      </xdr:txBody>
    </xdr:sp>
    <xdr:clientData/>
  </xdr:twoCellAnchor>
  <xdr:twoCellAnchor>
    <xdr:from>
      <xdr:col>5</xdr:col>
      <xdr:colOff>0</xdr:colOff>
      <xdr:row>55</xdr:row>
      <xdr:rowOff>0</xdr:rowOff>
    </xdr:from>
    <xdr:to>
      <xdr:col>15</xdr:col>
      <xdr:colOff>0</xdr:colOff>
      <xdr:row>81</xdr:row>
      <xdr:rowOff>115662</xdr:rowOff>
    </xdr:to>
    <xdr:graphicFrame macro="">
      <xdr:nvGraphicFramePr>
        <xdr:cNvPr id="6" name="Chart 5">
          <a:extLst>
            <a:ext uri="{FF2B5EF4-FFF2-40B4-BE49-F238E27FC236}">
              <a16:creationId xmlns:a16="http://schemas.microsoft.com/office/drawing/2014/main" id="{00000000-0008-0000-0500-00000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1</xdr:col>
      <xdr:colOff>6524</xdr:colOff>
      <xdr:row>5</xdr:row>
      <xdr:rowOff>78287</xdr:rowOff>
    </xdr:from>
    <xdr:to>
      <xdr:col>13</xdr:col>
      <xdr:colOff>347381</xdr:colOff>
      <xdr:row>34</xdr:row>
      <xdr:rowOff>33048</xdr:rowOff>
    </xdr:to>
    <xdr:graphicFrame macro="">
      <xdr:nvGraphicFramePr>
        <xdr:cNvPr id="2" name="Chart 1">
          <a:extLst>
            <a:ext uri="{FF2B5EF4-FFF2-40B4-BE49-F238E27FC236}">
              <a16:creationId xmlns:a16="http://schemas.microsoft.com/office/drawing/2014/main" id="{00000000-0008-0000-02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editAs="oneCell">
        <xdr:from>
          <xdr:col>0</xdr:col>
          <xdr:colOff>597203</xdr:colOff>
          <xdr:row>37</xdr:row>
          <xdr:rowOff>90715</xdr:rowOff>
        </xdr:from>
        <xdr:to>
          <xdr:col>11</xdr:col>
          <xdr:colOff>561447</xdr:colOff>
          <xdr:row>44</xdr:row>
          <xdr:rowOff>119290</xdr:rowOff>
        </xdr:to>
        <xdr:pic>
          <xdr:nvPicPr>
            <xdr:cNvPr id="6" name="Picture 5">
              <a:extLst>
                <a:ext uri="{FF2B5EF4-FFF2-40B4-BE49-F238E27FC236}">
                  <a16:creationId xmlns:a16="http://schemas.microsoft.com/office/drawing/2014/main" id="{00000000-0008-0000-0200-000006000000}"/>
                </a:ext>
              </a:extLst>
            </xdr:cNvPr>
            <xdr:cNvPicPr>
              <a:picLocks noChangeAspect="1" noChangeArrowheads="1"/>
              <a:extLst>
                <a:ext uri="{84589F7E-364E-4C9E-8A38-B11213B215E9}">
                  <a14:cameraTool cellRange="'SCENARIO RIBBON'!$T$12:$Y$18" spid="_x0000_s10259"/>
                </a:ext>
              </a:extLst>
            </xdr:cNvPicPr>
          </xdr:nvPicPr>
          <xdr:blipFill>
            <a:blip xmlns:r="http://schemas.openxmlformats.org/officeDocument/2006/relationships" r:embed="rId2"/>
            <a:srcRect/>
            <a:stretch>
              <a:fillRect/>
            </a:stretch>
          </xdr:blipFill>
          <xdr:spPr bwMode="auto">
            <a:xfrm>
              <a:off x="597203" y="6803572"/>
              <a:ext cx="8635019" cy="1298575"/>
            </a:xfrm>
            <a:prstGeom prst="rect">
              <a:avLst/>
            </a:prstGeom>
            <a:noFill/>
            <a:extLst>
              <a:ext uri="{909E8E84-426E-40DD-AFC4-6F175D3DCCD1}">
                <a14:hiddenFill>
                  <a:solidFill>
                    <a:srgbClr val="FFFFFF"/>
                  </a:solidFill>
                </a14:hiddenFill>
              </a:ext>
            </a:extLst>
          </xdr:spPr>
        </xdr:pic>
        <xdr:clientData/>
      </xdr:twoCellAnchor>
    </mc:Choice>
    <mc:Fallback/>
  </mc:AlternateContent>
  <xdr:twoCellAnchor>
    <xdr:from>
      <xdr:col>10</xdr:col>
      <xdr:colOff>619125</xdr:colOff>
      <xdr:row>46</xdr:row>
      <xdr:rowOff>23813</xdr:rowOff>
    </xdr:from>
    <xdr:to>
      <xdr:col>14</xdr:col>
      <xdr:colOff>436562</xdr:colOff>
      <xdr:row>49</xdr:row>
      <xdr:rowOff>142875</xdr:rowOff>
    </xdr:to>
    <xdr:sp macro="[0]!pdf" textlink="">
      <xdr:nvSpPr>
        <xdr:cNvPr id="7" name="Rectangle: Rounded Corners 6">
          <a:extLst>
            <a:ext uri="{FF2B5EF4-FFF2-40B4-BE49-F238E27FC236}">
              <a16:creationId xmlns:a16="http://schemas.microsoft.com/office/drawing/2014/main" id="{00000000-0008-0000-0200-000007000000}"/>
            </a:ext>
          </a:extLst>
        </xdr:cNvPr>
        <xdr:cNvSpPr/>
      </xdr:nvSpPr>
      <xdr:spPr>
        <a:xfrm>
          <a:off x="8643938" y="8421688"/>
          <a:ext cx="2420937" cy="666750"/>
        </a:xfrm>
        <a:prstGeom prst="roundRect">
          <a:avLst/>
        </a:prstGeom>
      </xdr:spPr>
      <xdr:style>
        <a:lnRef idx="1">
          <a:schemeClr val="accent5"/>
        </a:lnRef>
        <a:fillRef idx="2">
          <a:schemeClr val="accent5"/>
        </a:fillRef>
        <a:effectRef idx="1">
          <a:schemeClr val="accent5"/>
        </a:effectRef>
        <a:fontRef idx="minor">
          <a:schemeClr val="dk1"/>
        </a:fontRef>
      </xdr:style>
      <xdr:txBody>
        <a:bodyPr vertOverflow="clip" horzOverflow="clip" rtlCol="0" anchor="ctr"/>
        <a:lstStyle/>
        <a:p>
          <a:pPr algn="ctr"/>
          <a:r>
            <a:rPr lang="en-US" sz="1400"/>
            <a:t>PRINT TO PDF</a:t>
          </a:r>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F3F046B-4BB7-4971-A7A4-3BE1DF2059AE}">
  <sheetPr codeName="Sheet4">
    <outlinePr summaryBelow="0"/>
  </sheetPr>
  <dimension ref="B1:G25"/>
  <sheetViews>
    <sheetView showGridLines="0" workbookViewId="0">
      <selection activeCell="C30" sqref="C30"/>
    </sheetView>
  </sheetViews>
  <sheetFormatPr defaultRowHeight="14.25" outlineLevelRow="1" outlineLevelCol="1" x14ac:dyDescent="0.45"/>
  <cols>
    <col min="3" max="3" width="14.73046875" bestFit="1" customWidth="1"/>
    <col min="4" max="7" width="11.86328125" bestFit="1" customWidth="1" outlineLevel="1"/>
  </cols>
  <sheetData>
    <row r="1" spans="2:7" ht="14.65" thickBot="1" x14ac:dyDescent="0.5"/>
    <row r="2" spans="2:7" ht="15.75" x14ac:dyDescent="0.5">
      <c r="B2" s="46" t="s">
        <v>60</v>
      </c>
      <c r="C2" s="46"/>
      <c r="D2" s="51"/>
      <c r="E2" s="51"/>
      <c r="F2" s="51"/>
      <c r="G2" s="51"/>
    </row>
    <row r="3" spans="2:7" ht="15.75" collapsed="1" x14ac:dyDescent="0.5">
      <c r="B3" s="45"/>
      <c r="C3" s="45"/>
      <c r="D3" s="52" t="s">
        <v>62</v>
      </c>
      <c r="E3" s="52" t="s">
        <v>52</v>
      </c>
      <c r="F3" s="52" t="s">
        <v>77</v>
      </c>
      <c r="G3" s="52" t="s">
        <v>78</v>
      </c>
    </row>
    <row r="4" spans="2:7" ht="31.5" hidden="1" outlineLevel="1" x14ac:dyDescent="0.45">
      <c r="B4" s="48"/>
      <c r="C4" s="48"/>
      <c r="E4" s="54" t="s">
        <v>59</v>
      </c>
      <c r="F4" s="54" t="s">
        <v>59</v>
      </c>
      <c r="G4" s="54" t="s">
        <v>59</v>
      </c>
    </row>
    <row r="5" spans="2:7" x14ac:dyDescent="0.45">
      <c r="B5" s="49" t="s">
        <v>61</v>
      </c>
      <c r="C5" s="49"/>
      <c r="D5" s="47"/>
      <c r="E5" s="47"/>
      <c r="F5" s="47"/>
      <c r="G5" s="47"/>
    </row>
    <row r="6" spans="2:7" outlineLevel="1" x14ac:dyDescent="0.45">
      <c r="B6" s="48"/>
      <c r="C6" s="48" t="s">
        <v>53</v>
      </c>
      <c r="D6" t="s">
        <v>0</v>
      </c>
      <c r="E6" s="53" t="s">
        <v>1</v>
      </c>
      <c r="F6" s="53" t="s">
        <v>0</v>
      </c>
      <c r="G6" s="53" t="s">
        <v>0</v>
      </c>
    </row>
    <row r="7" spans="2:7" outlineLevel="1" x14ac:dyDescent="0.45">
      <c r="B7" s="48"/>
      <c r="C7" s="48" t="s">
        <v>54</v>
      </c>
      <c r="D7">
        <v>345</v>
      </c>
      <c r="E7" s="53">
        <v>300</v>
      </c>
      <c r="F7" s="53">
        <v>345</v>
      </c>
      <c r="G7" s="53">
        <v>360</v>
      </c>
    </row>
    <row r="8" spans="2:7" outlineLevel="1" x14ac:dyDescent="0.45">
      <c r="B8" s="48"/>
      <c r="C8" s="48" t="s">
        <v>55</v>
      </c>
      <c r="D8" t="s">
        <v>2</v>
      </c>
      <c r="E8" s="53" t="s">
        <v>3</v>
      </c>
      <c r="F8" s="53" t="s">
        <v>2</v>
      </c>
      <c r="G8" s="53" t="s">
        <v>1</v>
      </c>
    </row>
    <row r="9" spans="2:7" outlineLevel="1" x14ac:dyDescent="0.45">
      <c r="B9" s="48"/>
      <c r="C9" s="48" t="s">
        <v>56</v>
      </c>
      <c r="D9">
        <v>440</v>
      </c>
      <c r="E9" s="53">
        <v>440</v>
      </c>
      <c r="F9" s="53">
        <v>440</v>
      </c>
      <c r="G9" s="53">
        <v>480</v>
      </c>
    </row>
    <row r="10" spans="2:7" outlineLevel="1" x14ac:dyDescent="0.45">
      <c r="B10" s="48"/>
      <c r="C10" s="48" t="s">
        <v>57</v>
      </c>
      <c r="D10" t="s">
        <v>3</v>
      </c>
      <c r="E10" s="53" t="s">
        <v>5</v>
      </c>
      <c r="F10" s="53" t="s">
        <v>4</v>
      </c>
      <c r="G10" s="53" t="s">
        <v>3</v>
      </c>
    </row>
    <row r="11" spans="2:7" outlineLevel="1" x14ac:dyDescent="0.45">
      <c r="B11" s="48"/>
      <c r="C11" s="48" t="s">
        <v>58</v>
      </c>
      <c r="D11">
        <v>600</v>
      </c>
      <c r="E11" s="53">
        <v>600</v>
      </c>
      <c r="F11" s="53">
        <v>650</v>
      </c>
      <c r="G11" s="53">
        <v>650</v>
      </c>
    </row>
    <row r="12" spans="2:7" outlineLevel="1" x14ac:dyDescent="0.45">
      <c r="B12" s="48"/>
      <c r="C12" s="48" t="s">
        <v>68</v>
      </c>
      <c r="D12" t="s">
        <v>2</v>
      </c>
      <c r="E12" t="s">
        <v>2</v>
      </c>
      <c r="F12" s="53" t="s">
        <v>2</v>
      </c>
      <c r="G12" s="53" t="s">
        <v>3</v>
      </c>
    </row>
    <row r="13" spans="2:7" outlineLevel="1" x14ac:dyDescent="0.45">
      <c r="B13" s="48"/>
      <c r="C13" s="48" t="s">
        <v>69</v>
      </c>
      <c r="D13">
        <v>-700</v>
      </c>
      <c r="E13">
        <v>-700</v>
      </c>
      <c r="F13" s="53">
        <v>-800</v>
      </c>
      <c r="G13" s="53">
        <v>-700</v>
      </c>
    </row>
    <row r="14" spans="2:7" outlineLevel="1" x14ac:dyDescent="0.45">
      <c r="B14" s="48"/>
      <c r="C14" s="48" t="s">
        <v>70</v>
      </c>
      <c r="D14" t="s">
        <v>0</v>
      </c>
      <c r="E14" t="s">
        <v>0</v>
      </c>
      <c r="F14" s="53" t="s">
        <v>0</v>
      </c>
      <c r="G14" s="53" t="s">
        <v>0</v>
      </c>
    </row>
    <row r="15" spans="2:7" outlineLevel="1" x14ac:dyDescent="0.45">
      <c r="B15" s="48"/>
      <c r="C15" s="48" t="s">
        <v>71</v>
      </c>
      <c r="D15">
        <v>4</v>
      </c>
      <c r="E15">
        <v>4</v>
      </c>
      <c r="F15" s="53">
        <v>4</v>
      </c>
      <c r="G15" s="53">
        <v>4</v>
      </c>
    </row>
    <row r="16" spans="2:7" outlineLevel="1" x14ac:dyDescent="0.45">
      <c r="B16" s="48"/>
      <c r="C16" s="48" t="s">
        <v>72</v>
      </c>
      <c r="D16">
        <v>-4000</v>
      </c>
      <c r="E16">
        <v>-4000</v>
      </c>
      <c r="F16" s="53">
        <v>-4000</v>
      </c>
      <c r="G16" s="53">
        <v>-4000</v>
      </c>
    </row>
    <row r="17" spans="2:7" outlineLevel="1" x14ac:dyDescent="0.45">
      <c r="B17" s="48"/>
      <c r="C17" s="48" t="s">
        <v>73</v>
      </c>
      <c r="D17" t="s">
        <v>9</v>
      </c>
      <c r="E17" t="s">
        <v>9</v>
      </c>
      <c r="F17" s="53" t="s">
        <v>11</v>
      </c>
      <c r="G17" s="53" t="s">
        <v>11</v>
      </c>
    </row>
    <row r="18" spans="2:7" outlineLevel="1" x14ac:dyDescent="0.45">
      <c r="B18" s="48"/>
      <c r="C18" s="48" t="s">
        <v>74</v>
      </c>
      <c r="D18">
        <v>-440</v>
      </c>
      <c r="E18">
        <v>-440</v>
      </c>
      <c r="F18" s="53">
        <v>-500</v>
      </c>
      <c r="G18" s="53">
        <v>-420</v>
      </c>
    </row>
    <row r="19" spans="2:7" outlineLevel="1" x14ac:dyDescent="0.45">
      <c r="B19" s="48"/>
      <c r="C19" s="48" t="s">
        <v>75</v>
      </c>
      <c r="D19" t="s">
        <v>5</v>
      </c>
      <c r="E19" t="s">
        <v>5</v>
      </c>
      <c r="F19" s="53" t="s">
        <v>0</v>
      </c>
      <c r="G19" s="53" t="s">
        <v>2</v>
      </c>
    </row>
    <row r="20" spans="2:7" outlineLevel="1" x14ac:dyDescent="0.45">
      <c r="B20" s="48"/>
      <c r="C20" s="48" t="s">
        <v>76</v>
      </c>
      <c r="D20">
        <v>270</v>
      </c>
      <c r="E20">
        <v>270</v>
      </c>
      <c r="F20" s="53">
        <v>270</v>
      </c>
      <c r="G20" s="53">
        <v>270</v>
      </c>
    </row>
    <row r="21" spans="2:7" x14ac:dyDescent="0.45">
      <c r="B21" s="49" t="s">
        <v>63</v>
      </c>
      <c r="C21" s="49"/>
      <c r="D21" s="47"/>
      <c r="E21" s="47"/>
      <c r="F21" s="47"/>
      <c r="G21" s="47"/>
    </row>
    <row r="22" spans="2:7" ht="14.65" outlineLevel="1" thickBot="1" x14ac:dyDescent="0.5">
      <c r="B22" s="50"/>
      <c r="C22" s="50" t="s">
        <v>67</v>
      </c>
      <c r="D22" s="32">
        <v>7153</v>
      </c>
      <c r="E22" s="32">
        <v>19728</v>
      </c>
      <c r="F22" s="32">
        <v>8731</v>
      </c>
      <c r="G22" s="32">
        <v>2813</v>
      </c>
    </row>
    <row r="23" spans="2:7" x14ac:dyDescent="0.45">
      <c r="B23" t="s">
        <v>64</v>
      </c>
    </row>
    <row r="24" spans="2:7" x14ac:dyDescent="0.45">
      <c r="B24" t="s">
        <v>65</v>
      </c>
    </row>
    <row r="25" spans="2:7" x14ac:dyDescent="0.45">
      <c r="B25" t="s">
        <v>66</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81FF9A8-1153-4EA6-92ED-3469ABD2F163}">
  <sheetPr codeName="Sheet2"/>
  <dimension ref="A1:FX68"/>
  <sheetViews>
    <sheetView tabSelected="1" zoomScale="40" zoomScaleNormal="40" workbookViewId="0">
      <selection activeCell="D74" sqref="D74"/>
    </sheetView>
  </sheetViews>
  <sheetFormatPr defaultRowHeight="14.25" x14ac:dyDescent="0.45"/>
  <cols>
    <col min="1" max="1" width="35.265625" customWidth="1"/>
    <col min="2" max="2" width="13.6640625" style="37" bestFit="1" customWidth="1"/>
    <col min="3" max="3" width="9.06640625" customWidth="1"/>
    <col min="6" max="6" width="23.46484375" style="5" customWidth="1"/>
    <col min="7" max="7" width="11.9296875" bestFit="1" customWidth="1"/>
    <col min="8" max="8" width="13.1328125" customWidth="1"/>
    <col min="9" max="9" width="9.3984375" customWidth="1"/>
    <col min="10" max="10" width="14.53125" customWidth="1"/>
    <col min="11" max="11" width="10.3984375" customWidth="1"/>
    <col min="12" max="12" width="10.1328125" customWidth="1"/>
    <col min="13" max="14" width="10.265625" customWidth="1"/>
    <col min="15" max="15" width="11.86328125" customWidth="1"/>
    <col min="16" max="17" width="10.59765625" customWidth="1"/>
    <col min="18" max="18" width="10.265625" customWidth="1"/>
    <col min="22" max="22" width="24.46484375" customWidth="1"/>
    <col min="23" max="23" width="21.59765625" bestFit="1" customWidth="1"/>
    <col min="24" max="24" width="22.265625" bestFit="1" customWidth="1"/>
    <col min="25" max="25" width="34" bestFit="1" customWidth="1"/>
    <col min="26" max="26" width="16.796875" customWidth="1"/>
  </cols>
  <sheetData>
    <row r="1" spans="1:180" ht="14.65" thickBot="1" x14ac:dyDescent="0.5">
      <c r="A1" s="10" t="s">
        <v>31</v>
      </c>
      <c r="B1" s="10" t="s">
        <v>36</v>
      </c>
    </row>
    <row r="2" spans="1:180" ht="18" x14ac:dyDescent="0.55000000000000004">
      <c r="A2" s="17">
        <v>1</v>
      </c>
      <c r="B2" s="10" t="s">
        <v>0</v>
      </c>
      <c r="D2" s="65" t="s">
        <v>90</v>
      </c>
      <c r="E2" s="27"/>
      <c r="F2" s="28"/>
    </row>
    <row r="3" spans="1:180" ht="23.65" thickBot="1" x14ac:dyDescent="0.75">
      <c r="A3" s="17">
        <v>2</v>
      </c>
      <c r="B3" s="10" t="s">
        <v>1</v>
      </c>
      <c r="D3" s="66"/>
      <c r="E3" s="64" t="s">
        <v>91</v>
      </c>
      <c r="F3" s="63" t="s">
        <v>92</v>
      </c>
    </row>
    <row r="4" spans="1:180" x14ac:dyDescent="0.45">
      <c r="A4" s="17">
        <v>3</v>
      </c>
      <c r="B4" s="10" t="s">
        <v>2</v>
      </c>
    </row>
    <row r="5" spans="1:180" x14ac:dyDescent="0.45">
      <c r="A5" s="17">
        <v>4</v>
      </c>
      <c r="B5" s="10" t="s">
        <v>3</v>
      </c>
    </row>
    <row r="6" spans="1:180" x14ac:dyDescent="0.45">
      <c r="A6" s="17">
        <v>5</v>
      </c>
      <c r="B6" s="10" t="s">
        <v>4</v>
      </c>
    </row>
    <row r="7" spans="1:180" x14ac:dyDescent="0.45">
      <c r="A7" s="17">
        <v>6</v>
      </c>
      <c r="B7" s="10" t="s">
        <v>5</v>
      </c>
    </row>
    <row r="8" spans="1:180" x14ac:dyDescent="0.45">
      <c r="A8" s="17">
        <v>7</v>
      </c>
      <c r="B8" s="10" t="s">
        <v>6</v>
      </c>
    </row>
    <row r="9" spans="1:180" x14ac:dyDescent="0.45">
      <c r="A9" s="17">
        <v>8</v>
      </c>
      <c r="B9" s="10" t="s">
        <v>7</v>
      </c>
    </row>
    <row r="10" spans="1:180" x14ac:dyDescent="0.45">
      <c r="A10" s="17">
        <v>9</v>
      </c>
      <c r="B10" s="10" t="s">
        <v>8</v>
      </c>
    </row>
    <row r="11" spans="1:180" x14ac:dyDescent="0.45">
      <c r="A11" s="17">
        <v>10</v>
      </c>
      <c r="B11" s="10" t="s">
        <v>9</v>
      </c>
    </row>
    <row r="12" spans="1:180" x14ac:dyDescent="0.45">
      <c r="A12" s="17">
        <v>11</v>
      </c>
      <c r="B12" s="10" t="s">
        <v>10</v>
      </c>
      <c r="F12"/>
      <c r="T12" s="76">
        <v>1</v>
      </c>
      <c r="U12" s="76" t="s">
        <v>80</v>
      </c>
      <c r="V12" s="77" t="s">
        <v>79</v>
      </c>
      <c r="W12" s="77" t="s">
        <v>34</v>
      </c>
      <c r="X12" s="77" t="s">
        <v>48</v>
      </c>
      <c r="Y12" s="77" t="s">
        <v>87</v>
      </c>
    </row>
    <row r="13" spans="1:180" s="2" customFormat="1" x14ac:dyDescent="0.45">
      <c r="A13" s="17">
        <v>12</v>
      </c>
      <c r="B13" s="10" t="s">
        <v>11</v>
      </c>
      <c r="C13"/>
      <c r="D13"/>
      <c r="E13"/>
      <c r="F13" s="9" t="s">
        <v>37</v>
      </c>
      <c r="G13" s="17">
        <v>1</v>
      </c>
      <c r="H13" s="17">
        <v>2</v>
      </c>
      <c r="I13" s="17">
        <v>3</v>
      </c>
      <c r="J13" s="17">
        <v>4</v>
      </c>
      <c r="K13" s="17">
        <v>5</v>
      </c>
      <c r="L13" s="17">
        <v>6</v>
      </c>
      <c r="M13" s="17">
        <v>7</v>
      </c>
      <c r="N13" s="17">
        <v>8</v>
      </c>
      <c r="O13" s="17">
        <v>9</v>
      </c>
      <c r="P13" s="17">
        <v>10</v>
      </c>
      <c r="Q13" s="17">
        <v>11</v>
      </c>
      <c r="R13" s="17">
        <v>12</v>
      </c>
      <c r="S13"/>
      <c r="T13" s="77"/>
      <c r="U13" s="76">
        <v>1</v>
      </c>
      <c r="V13" s="78" t="s">
        <v>81</v>
      </c>
      <c r="W13" s="76" t="s">
        <v>4</v>
      </c>
      <c r="X13" s="76" t="s">
        <v>0</v>
      </c>
      <c r="Y13" s="76">
        <v>4</v>
      </c>
      <c r="Z13"/>
      <c r="AA13"/>
      <c r="AB13"/>
      <c r="AC13"/>
      <c r="AD13"/>
      <c r="AE13"/>
      <c r="AF13"/>
      <c r="AG13"/>
      <c r="AH13"/>
      <c r="AI13"/>
      <c r="AJ13"/>
      <c r="AK13"/>
      <c r="AL13"/>
      <c r="AM13"/>
      <c r="AN13"/>
      <c r="AO13"/>
      <c r="AP13"/>
      <c r="AQ13"/>
      <c r="AR13"/>
      <c r="AS13"/>
      <c r="AT13"/>
      <c r="AU13"/>
      <c r="AV13"/>
      <c r="AW13"/>
      <c r="AX13"/>
      <c r="AY13"/>
      <c r="AZ13"/>
      <c r="BA13"/>
      <c r="BB13"/>
      <c r="BC13"/>
      <c r="BD13"/>
      <c r="BE13"/>
      <c r="BF13"/>
      <c r="BG13"/>
      <c r="BH13"/>
      <c r="BI13"/>
      <c r="BJ13"/>
      <c r="BK13"/>
      <c r="BL13"/>
      <c r="BM13"/>
      <c r="BN13"/>
      <c r="BO13"/>
      <c r="BP13"/>
      <c r="BQ13"/>
      <c r="BR13"/>
      <c r="BS13"/>
      <c r="BT13"/>
      <c r="BU13"/>
      <c r="BV13"/>
      <c r="BW13"/>
      <c r="BX13"/>
      <c r="BY13"/>
      <c r="BZ13"/>
      <c r="CA13"/>
      <c r="CB13"/>
      <c r="CC13"/>
      <c r="CD13"/>
      <c r="CE13"/>
      <c r="CF13"/>
      <c r="CG13"/>
      <c r="CH13"/>
      <c r="CI13"/>
      <c r="CJ13"/>
      <c r="CK13"/>
      <c r="CL13"/>
      <c r="CM13"/>
      <c r="CN13"/>
      <c r="CO13"/>
      <c r="CP13"/>
      <c r="CQ13"/>
      <c r="CR13"/>
      <c r="CS13"/>
      <c r="CT13"/>
      <c r="CU13"/>
      <c r="CV13"/>
      <c r="CW13"/>
      <c r="CX13"/>
      <c r="CY13"/>
      <c r="CZ13"/>
      <c r="DA13"/>
      <c r="DB13"/>
      <c r="DC13"/>
      <c r="DD13"/>
      <c r="DE13"/>
      <c r="DF13"/>
      <c r="DG13"/>
      <c r="DH13"/>
      <c r="DI13"/>
      <c r="DJ13"/>
      <c r="DK13"/>
      <c r="DL13"/>
      <c r="DM13"/>
      <c r="DN13"/>
      <c r="DO13"/>
      <c r="DP13"/>
      <c r="DQ13"/>
      <c r="DR13"/>
      <c r="DS13"/>
      <c r="DT13"/>
      <c r="DU13"/>
      <c r="DV13"/>
      <c r="DW13"/>
      <c r="DX13"/>
      <c r="DY13"/>
      <c r="DZ13"/>
      <c r="EA13"/>
      <c r="EB13"/>
      <c r="EC13"/>
      <c r="ED13"/>
      <c r="EE13"/>
      <c r="EF13"/>
      <c r="EG13"/>
      <c r="EH13"/>
      <c r="EI13"/>
      <c r="EJ13"/>
      <c r="EK13"/>
      <c r="EL13"/>
      <c r="EM13"/>
      <c r="EN13"/>
      <c r="EO13"/>
      <c r="EP13"/>
      <c r="EQ13"/>
      <c r="ER13"/>
      <c r="ES13"/>
      <c r="ET13"/>
      <c r="EU13"/>
      <c r="EV13"/>
      <c r="EW13"/>
      <c r="EX13"/>
      <c r="EY13"/>
      <c r="EZ13"/>
      <c r="FA13"/>
      <c r="FB13"/>
      <c r="FC13"/>
      <c r="FD13"/>
      <c r="FE13"/>
      <c r="FF13"/>
      <c r="FG13"/>
      <c r="FH13"/>
      <c r="FI13"/>
      <c r="FJ13"/>
      <c r="FK13"/>
      <c r="FL13"/>
      <c r="FM13"/>
      <c r="FN13"/>
      <c r="FO13"/>
      <c r="FP13"/>
      <c r="FQ13"/>
      <c r="FR13"/>
      <c r="FS13"/>
      <c r="FT13"/>
      <c r="FU13"/>
      <c r="FV13"/>
      <c r="FW13"/>
      <c r="FX13"/>
    </row>
    <row r="14" spans="1:180" s="3" customFormat="1" ht="16.149999999999999" thickBot="1" x14ac:dyDescent="0.55000000000000004">
      <c r="A14"/>
      <c r="B14" s="37"/>
      <c r="C14"/>
      <c r="D14"/>
      <c r="E14"/>
      <c r="F14" s="34" t="s">
        <v>12</v>
      </c>
      <c r="G14" s="18" t="str">
        <f>VLOOKUP(G13,$A$2:$B$13,2,FALSE)</f>
        <v>January</v>
      </c>
      <c r="H14" s="18" t="str">
        <f t="shared" ref="H14:R14" si="0">VLOOKUP(H13,$A$2:$B$13,2,FALSE)</f>
        <v>February</v>
      </c>
      <c r="I14" s="18" t="str">
        <f t="shared" si="0"/>
        <v>March</v>
      </c>
      <c r="J14" s="18" t="str">
        <f t="shared" si="0"/>
        <v>April</v>
      </c>
      <c r="K14" s="18" t="str">
        <f t="shared" si="0"/>
        <v>May</v>
      </c>
      <c r="L14" s="18" t="str">
        <f t="shared" si="0"/>
        <v>June</v>
      </c>
      <c r="M14" s="18" t="str">
        <f t="shared" si="0"/>
        <v>July</v>
      </c>
      <c r="N14" s="18" t="str">
        <f t="shared" si="0"/>
        <v>August</v>
      </c>
      <c r="O14" s="18" t="str">
        <f t="shared" si="0"/>
        <v>September</v>
      </c>
      <c r="P14" s="18" t="str">
        <f t="shared" si="0"/>
        <v>October</v>
      </c>
      <c r="Q14" s="18" t="str">
        <f t="shared" si="0"/>
        <v>November</v>
      </c>
      <c r="R14" s="18" t="str">
        <f t="shared" si="0"/>
        <v>December</v>
      </c>
      <c r="S14"/>
      <c r="T14" s="77"/>
      <c r="U14" s="76">
        <v>2</v>
      </c>
      <c r="V14" s="77" t="s">
        <v>82</v>
      </c>
      <c r="W14" s="76" t="s">
        <v>5</v>
      </c>
      <c r="X14" s="76" t="s">
        <v>0</v>
      </c>
      <c r="Y14" s="76">
        <v>4</v>
      </c>
      <c r="Z14"/>
      <c r="AA14"/>
      <c r="AB14"/>
      <c r="AC14"/>
      <c r="AD14"/>
      <c r="AE14"/>
      <c r="AF14"/>
      <c r="AG14"/>
      <c r="AH14"/>
      <c r="AI14"/>
      <c r="AJ14"/>
      <c r="AK14"/>
      <c r="AL14"/>
      <c r="AM14"/>
      <c r="AN14"/>
      <c r="AO14"/>
      <c r="AP14"/>
      <c r="AQ14"/>
      <c r="AR14"/>
      <c r="AS14"/>
      <c r="AT14"/>
      <c r="AU14"/>
      <c r="AV14"/>
      <c r="AW14"/>
      <c r="AX14"/>
      <c r="AY14"/>
      <c r="AZ14"/>
      <c r="BA14"/>
      <c r="BB14"/>
      <c r="BC14"/>
      <c r="BD14"/>
      <c r="BE14"/>
      <c r="BF14"/>
      <c r="BG14"/>
      <c r="BH14"/>
      <c r="BI14"/>
      <c r="BJ14"/>
      <c r="BK14"/>
      <c r="BL14"/>
      <c r="BM14"/>
      <c r="BN14"/>
      <c r="BO14"/>
      <c r="BP14"/>
      <c r="BQ14"/>
      <c r="BR14"/>
      <c r="BS14"/>
      <c r="BT14"/>
      <c r="BU14"/>
      <c r="BV14"/>
      <c r="BW14"/>
      <c r="BX14"/>
      <c r="BY14"/>
      <c r="BZ14"/>
      <c r="CA14"/>
      <c r="CB14"/>
      <c r="CC14"/>
      <c r="CD14"/>
      <c r="CE14"/>
      <c r="CF14"/>
      <c r="CG14"/>
      <c r="CH14"/>
      <c r="CI14"/>
      <c r="CJ14"/>
      <c r="CK14"/>
      <c r="CL14"/>
      <c r="CM14"/>
      <c r="CN14"/>
      <c r="CO14"/>
      <c r="CP14"/>
      <c r="CQ14"/>
      <c r="CR14"/>
      <c r="CS14"/>
      <c r="CT14"/>
      <c r="CU14"/>
      <c r="CV14"/>
      <c r="CW14"/>
      <c r="CX14"/>
      <c r="CY14"/>
      <c r="CZ14"/>
      <c r="DA14"/>
      <c r="DB14"/>
      <c r="DC14"/>
      <c r="DD14"/>
      <c r="DE14"/>
      <c r="DF14"/>
      <c r="DG14"/>
      <c r="DH14"/>
      <c r="DI14"/>
      <c r="DJ14"/>
      <c r="DK14"/>
      <c r="DL14"/>
      <c r="DM14"/>
      <c r="DN14"/>
      <c r="DO14"/>
      <c r="DP14"/>
      <c r="DQ14"/>
      <c r="DR14"/>
      <c r="DS14"/>
      <c r="DT14"/>
      <c r="DU14"/>
      <c r="DV14"/>
      <c r="DW14"/>
      <c r="DX14"/>
      <c r="DY14"/>
      <c r="DZ14"/>
      <c r="EA14"/>
      <c r="EB14"/>
      <c r="EC14"/>
      <c r="ED14"/>
      <c r="EE14"/>
      <c r="EF14"/>
      <c r="EG14"/>
      <c r="EH14"/>
      <c r="EI14"/>
      <c r="EJ14"/>
      <c r="EK14"/>
      <c r="EL14"/>
      <c r="EM14"/>
      <c r="EN14"/>
      <c r="EO14"/>
      <c r="EP14"/>
      <c r="EQ14"/>
      <c r="ER14"/>
      <c r="ES14"/>
      <c r="ET14"/>
      <c r="EU14"/>
      <c r="EV14"/>
      <c r="EW14"/>
      <c r="EX14"/>
      <c r="EY14"/>
      <c r="EZ14"/>
      <c r="FA14"/>
      <c r="FB14"/>
      <c r="FC14"/>
      <c r="FD14"/>
      <c r="FE14"/>
      <c r="FF14"/>
      <c r="FG14"/>
      <c r="FH14"/>
      <c r="FI14"/>
      <c r="FJ14"/>
      <c r="FK14"/>
      <c r="FL14"/>
      <c r="FM14"/>
      <c r="FN14"/>
      <c r="FO14"/>
      <c r="FP14"/>
      <c r="FQ14"/>
      <c r="FR14"/>
      <c r="FS14"/>
      <c r="FT14"/>
      <c r="FU14"/>
      <c r="FV14"/>
      <c r="FW14"/>
      <c r="FX14"/>
    </row>
    <row r="15" spans="1:180" s="1" customFormat="1" x14ac:dyDescent="0.45">
      <c r="A15" s="13" t="s">
        <v>32</v>
      </c>
      <c r="B15" s="38" t="s">
        <v>0</v>
      </c>
      <c r="C15"/>
      <c r="D15"/>
      <c r="E15"/>
      <c r="F15" s="35" t="s">
        <v>32</v>
      </c>
      <c r="G15" s="8">
        <f>IF(G14=$B$15,1,"")</f>
        <v>1</v>
      </c>
      <c r="H15" s="8">
        <f t="shared" ref="H15:R15" si="1">IF(G15=1,1,IF(H14=$B$15,1,""))</f>
        <v>1</v>
      </c>
      <c r="I15" s="8">
        <f t="shared" si="1"/>
        <v>1</v>
      </c>
      <c r="J15" s="8">
        <f t="shared" si="1"/>
        <v>1</v>
      </c>
      <c r="K15" s="8">
        <f t="shared" si="1"/>
        <v>1</v>
      </c>
      <c r="L15" s="8">
        <f t="shared" si="1"/>
        <v>1</v>
      </c>
      <c r="M15" s="8">
        <f t="shared" si="1"/>
        <v>1</v>
      </c>
      <c r="N15" s="8">
        <f t="shared" si="1"/>
        <v>1</v>
      </c>
      <c r="O15" s="8">
        <f t="shared" si="1"/>
        <v>1</v>
      </c>
      <c r="P15" s="8">
        <f t="shared" si="1"/>
        <v>1</v>
      </c>
      <c r="Q15" s="8">
        <f t="shared" si="1"/>
        <v>1</v>
      </c>
      <c r="R15" s="8">
        <f t="shared" si="1"/>
        <v>1</v>
      </c>
      <c r="S15"/>
      <c r="T15" s="77"/>
      <c r="U15" s="76">
        <v>3</v>
      </c>
      <c r="V15" s="77" t="s">
        <v>83</v>
      </c>
      <c r="W15" s="76" t="s">
        <v>6</v>
      </c>
      <c r="X15" s="76" t="s">
        <v>0</v>
      </c>
      <c r="Y15" s="76">
        <v>4</v>
      </c>
      <c r="Z15"/>
      <c r="AA15"/>
      <c r="AB15"/>
      <c r="AC15"/>
      <c r="AD15"/>
      <c r="AE15"/>
      <c r="AF15"/>
      <c r="AG15"/>
      <c r="AH15"/>
      <c r="AI15"/>
      <c r="AJ15"/>
      <c r="AK15"/>
      <c r="AL15"/>
      <c r="AM15"/>
      <c r="AN15"/>
      <c r="AO15"/>
      <c r="AP15"/>
      <c r="AQ15"/>
      <c r="AR15"/>
      <c r="AS15"/>
      <c r="AT15"/>
      <c r="AU15"/>
      <c r="AV15"/>
      <c r="AW15"/>
      <c r="AX15"/>
      <c r="AY15"/>
      <c r="AZ15"/>
      <c r="BA15"/>
      <c r="BB15"/>
      <c r="BC15"/>
      <c r="BD15"/>
      <c r="BE15"/>
      <c r="BF15"/>
      <c r="BG15"/>
      <c r="BH15"/>
      <c r="BI15"/>
      <c r="BJ15"/>
      <c r="BK15"/>
      <c r="BL15"/>
      <c r="BM15"/>
      <c r="BN15"/>
      <c r="BO15"/>
      <c r="BP15"/>
      <c r="BQ15"/>
      <c r="BR15"/>
      <c r="BS15"/>
      <c r="BT15"/>
      <c r="BU15"/>
      <c r="BV15"/>
      <c r="BW15"/>
      <c r="BX15"/>
      <c r="BY15"/>
      <c r="BZ15"/>
      <c r="CA15"/>
      <c r="CB15"/>
      <c r="CC15"/>
      <c r="CD15"/>
      <c r="CE15"/>
      <c r="CF15"/>
      <c r="CG15"/>
      <c r="CH15"/>
      <c r="CI15"/>
      <c r="CJ15"/>
      <c r="CK15"/>
      <c r="CL15"/>
      <c r="CM15"/>
      <c r="CN15"/>
      <c r="CO15"/>
      <c r="CP15"/>
      <c r="CQ15"/>
      <c r="CR15"/>
      <c r="CS15"/>
      <c r="CT15"/>
      <c r="CU15"/>
      <c r="CV15"/>
      <c r="CW15"/>
      <c r="CX15"/>
      <c r="CY15"/>
      <c r="CZ15"/>
      <c r="DA15"/>
      <c r="DB15"/>
      <c r="DC15"/>
      <c r="DD15"/>
      <c r="DE15"/>
      <c r="DF15"/>
      <c r="DG15"/>
      <c r="DH15"/>
      <c r="DI15"/>
      <c r="DJ15"/>
      <c r="DK15"/>
      <c r="DL15"/>
      <c r="DM15"/>
      <c r="DN15"/>
      <c r="DO15"/>
      <c r="DP15"/>
      <c r="DQ15"/>
      <c r="DR15"/>
      <c r="DS15"/>
      <c r="DT15"/>
      <c r="DU15"/>
      <c r="DV15"/>
      <c r="DW15"/>
      <c r="DX15"/>
      <c r="DY15"/>
      <c r="DZ15"/>
      <c r="EA15"/>
      <c r="EB15"/>
      <c r="EC15"/>
      <c r="ED15"/>
      <c r="EE15"/>
      <c r="EF15"/>
      <c r="EG15"/>
      <c r="EH15"/>
      <c r="EI15"/>
      <c r="EJ15"/>
      <c r="EK15"/>
      <c r="EL15"/>
      <c r="EM15"/>
      <c r="EN15"/>
      <c r="EO15"/>
      <c r="EP15"/>
      <c r="EQ15"/>
      <c r="ER15"/>
      <c r="ES15"/>
      <c r="ET15"/>
      <c r="EU15"/>
      <c r="EV15"/>
      <c r="EW15"/>
      <c r="EX15"/>
      <c r="EY15"/>
      <c r="EZ15"/>
      <c r="FA15"/>
      <c r="FB15"/>
      <c r="FC15"/>
      <c r="FD15"/>
      <c r="FE15"/>
      <c r="FF15"/>
      <c r="FG15"/>
      <c r="FH15"/>
      <c r="FI15"/>
      <c r="FJ15"/>
      <c r="FK15"/>
      <c r="FL15"/>
      <c r="FM15"/>
      <c r="FN15"/>
      <c r="FO15"/>
      <c r="FP15"/>
      <c r="FQ15"/>
      <c r="FR15"/>
      <c r="FS15"/>
      <c r="FT15"/>
      <c r="FU15"/>
      <c r="FV15"/>
      <c r="FW15"/>
      <c r="FX15"/>
    </row>
    <row r="16" spans="1:180" x14ac:dyDescent="0.45">
      <c r="A16" s="14" t="s">
        <v>30</v>
      </c>
      <c r="B16" s="39">
        <v>345</v>
      </c>
      <c r="F16" s="6" t="s">
        <v>13</v>
      </c>
      <c r="G16" s="9">
        <f t="shared" ref="G16:R16" si="2">IF(G15=1,$B$16,"")</f>
        <v>345</v>
      </c>
      <c r="H16" s="9">
        <f t="shared" si="2"/>
        <v>345</v>
      </c>
      <c r="I16" s="9">
        <f t="shared" si="2"/>
        <v>345</v>
      </c>
      <c r="J16" s="9">
        <f t="shared" si="2"/>
        <v>345</v>
      </c>
      <c r="K16" s="9">
        <f t="shared" si="2"/>
        <v>345</v>
      </c>
      <c r="L16" s="9">
        <f t="shared" si="2"/>
        <v>345</v>
      </c>
      <c r="M16" s="9">
        <f t="shared" si="2"/>
        <v>345</v>
      </c>
      <c r="N16" s="9">
        <f t="shared" si="2"/>
        <v>345</v>
      </c>
      <c r="O16" s="9">
        <f t="shared" si="2"/>
        <v>345</v>
      </c>
      <c r="P16" s="9">
        <f t="shared" si="2"/>
        <v>345</v>
      </c>
      <c r="Q16" s="9">
        <f t="shared" si="2"/>
        <v>345</v>
      </c>
      <c r="R16" s="9">
        <f t="shared" si="2"/>
        <v>345</v>
      </c>
      <c r="T16" s="77"/>
      <c r="U16" s="76">
        <v>4</v>
      </c>
      <c r="V16" s="77" t="s">
        <v>84</v>
      </c>
      <c r="W16" s="76" t="s">
        <v>4</v>
      </c>
      <c r="X16" s="76" t="s">
        <v>0</v>
      </c>
      <c r="Y16" s="76">
        <v>4</v>
      </c>
    </row>
    <row r="17" spans="1:180" x14ac:dyDescent="0.45">
      <c r="A17" s="14" t="s">
        <v>16</v>
      </c>
      <c r="B17" s="39">
        <v>20</v>
      </c>
      <c r="F17" s="6" t="s">
        <v>16</v>
      </c>
      <c r="G17" s="9">
        <f t="shared" ref="G17:R17" si="3">IF(G15=1,$B$17,"")</f>
        <v>20</v>
      </c>
      <c r="H17" s="9">
        <f t="shared" si="3"/>
        <v>20</v>
      </c>
      <c r="I17" s="9">
        <f t="shared" si="3"/>
        <v>20</v>
      </c>
      <c r="J17" s="9">
        <f t="shared" si="3"/>
        <v>20</v>
      </c>
      <c r="K17" s="9">
        <f t="shared" si="3"/>
        <v>20</v>
      </c>
      <c r="L17" s="9">
        <f t="shared" si="3"/>
        <v>20</v>
      </c>
      <c r="M17" s="9">
        <f t="shared" si="3"/>
        <v>20</v>
      </c>
      <c r="N17" s="9">
        <f t="shared" si="3"/>
        <v>20</v>
      </c>
      <c r="O17" s="9">
        <f t="shared" si="3"/>
        <v>20</v>
      </c>
      <c r="P17" s="9">
        <f t="shared" si="3"/>
        <v>20</v>
      </c>
      <c r="Q17" s="9">
        <f t="shared" si="3"/>
        <v>20</v>
      </c>
      <c r="R17" s="9">
        <f t="shared" si="3"/>
        <v>20</v>
      </c>
      <c r="T17" s="77"/>
      <c r="U17" s="76">
        <v>5</v>
      </c>
      <c r="V17" s="77" t="s">
        <v>85</v>
      </c>
      <c r="W17" s="76" t="s">
        <v>3</v>
      </c>
      <c r="X17" s="76" t="s">
        <v>0</v>
      </c>
      <c r="Y17" s="76">
        <v>3</v>
      </c>
    </row>
    <row r="18" spans="1:180" x14ac:dyDescent="0.45">
      <c r="A18" s="14" t="s">
        <v>14</v>
      </c>
      <c r="B18" s="39">
        <v>-122</v>
      </c>
      <c r="F18" s="6" t="s">
        <v>14</v>
      </c>
      <c r="G18" s="9">
        <f>$B$18</f>
        <v>-122</v>
      </c>
      <c r="H18" s="9">
        <f t="shared" ref="H18:R18" si="4">$B$18</f>
        <v>-122</v>
      </c>
      <c r="I18" s="9">
        <f t="shared" si="4"/>
        <v>-122</v>
      </c>
      <c r="J18" s="9">
        <f t="shared" si="4"/>
        <v>-122</v>
      </c>
      <c r="K18" s="9">
        <f t="shared" si="4"/>
        <v>-122</v>
      </c>
      <c r="L18" s="9">
        <f t="shared" si="4"/>
        <v>-122</v>
      </c>
      <c r="M18" s="9">
        <f t="shared" si="4"/>
        <v>-122</v>
      </c>
      <c r="N18" s="9">
        <f t="shared" si="4"/>
        <v>-122</v>
      </c>
      <c r="O18" s="9">
        <f t="shared" si="4"/>
        <v>-122</v>
      </c>
      <c r="P18" s="9">
        <f t="shared" si="4"/>
        <v>-122</v>
      </c>
      <c r="Q18" s="9">
        <f t="shared" si="4"/>
        <v>-122</v>
      </c>
      <c r="R18" s="9">
        <f t="shared" si="4"/>
        <v>-122</v>
      </c>
      <c r="T18" s="77"/>
      <c r="U18" s="76">
        <v>6</v>
      </c>
      <c r="V18" s="77" t="s">
        <v>86</v>
      </c>
      <c r="W18" s="76" t="s">
        <v>2</v>
      </c>
      <c r="X18" s="76" t="s">
        <v>0</v>
      </c>
      <c r="Y18" s="76">
        <v>2</v>
      </c>
    </row>
    <row r="19" spans="1:180" x14ac:dyDescent="0.45">
      <c r="A19" s="14" t="s">
        <v>15</v>
      </c>
      <c r="B19" s="39">
        <v>-43</v>
      </c>
      <c r="F19" s="6" t="s">
        <v>15</v>
      </c>
      <c r="G19" s="9">
        <f>$B$19</f>
        <v>-43</v>
      </c>
      <c r="H19" s="9">
        <f t="shared" ref="H19:R19" si="5">$B$19</f>
        <v>-43</v>
      </c>
      <c r="I19" s="9">
        <f t="shared" si="5"/>
        <v>-43</v>
      </c>
      <c r="J19" s="9">
        <f t="shared" si="5"/>
        <v>-43</v>
      </c>
      <c r="K19" s="9">
        <f t="shared" si="5"/>
        <v>-43</v>
      </c>
      <c r="L19" s="9">
        <f t="shared" si="5"/>
        <v>-43</v>
      </c>
      <c r="M19" s="9">
        <f t="shared" si="5"/>
        <v>-43</v>
      </c>
      <c r="N19" s="9">
        <f t="shared" si="5"/>
        <v>-43</v>
      </c>
      <c r="O19" s="9">
        <f t="shared" si="5"/>
        <v>-43</v>
      </c>
      <c r="P19" s="9">
        <f t="shared" si="5"/>
        <v>-43</v>
      </c>
      <c r="Q19" s="9">
        <f t="shared" si="5"/>
        <v>-43</v>
      </c>
      <c r="R19" s="9">
        <f t="shared" si="5"/>
        <v>-43</v>
      </c>
      <c r="U19" s="22"/>
      <c r="W19" s="22"/>
      <c r="X19" s="22"/>
      <c r="Y19" s="22"/>
    </row>
    <row r="20" spans="1:180" ht="14.65" thickBot="1" x14ac:dyDescent="0.5">
      <c r="A20" s="15" t="s">
        <v>17</v>
      </c>
      <c r="B20" s="40">
        <v>-20</v>
      </c>
      <c r="F20" s="6" t="s">
        <v>17</v>
      </c>
      <c r="G20" s="9">
        <f t="shared" ref="G20:R20" si="6">IF(G15=1,$B$20,"")</f>
        <v>-20</v>
      </c>
      <c r="H20" s="9">
        <f t="shared" si="6"/>
        <v>-20</v>
      </c>
      <c r="I20" s="9">
        <f t="shared" si="6"/>
        <v>-20</v>
      </c>
      <c r="J20" s="9">
        <f t="shared" si="6"/>
        <v>-20</v>
      </c>
      <c r="K20" s="9">
        <f t="shared" si="6"/>
        <v>-20</v>
      </c>
      <c r="L20" s="9">
        <f t="shared" si="6"/>
        <v>-20</v>
      </c>
      <c r="M20" s="9">
        <f t="shared" si="6"/>
        <v>-20</v>
      </c>
      <c r="N20" s="9">
        <f t="shared" si="6"/>
        <v>-20</v>
      </c>
      <c r="O20" s="9">
        <f t="shared" si="6"/>
        <v>-20</v>
      </c>
      <c r="P20" s="9">
        <f t="shared" si="6"/>
        <v>-20</v>
      </c>
      <c r="Q20" s="9">
        <f t="shared" si="6"/>
        <v>-20</v>
      </c>
      <c r="R20" s="9">
        <f t="shared" si="6"/>
        <v>-20</v>
      </c>
      <c r="U20" s="22"/>
    </row>
    <row r="21" spans="1:180" x14ac:dyDescent="0.45">
      <c r="F21" s="6" t="s">
        <v>18</v>
      </c>
      <c r="G21" s="9" t="str">
        <f>IF(G14=$B$23,$B$24,"")</f>
        <v/>
      </c>
      <c r="H21" s="9" t="str">
        <f t="shared" ref="H21:R21" si="7">IF(H14=$B$23,$B$24,"")</f>
        <v/>
      </c>
      <c r="I21" s="9">
        <f t="shared" si="7"/>
        <v>-700</v>
      </c>
      <c r="J21" s="9" t="str">
        <f t="shared" si="7"/>
        <v/>
      </c>
      <c r="K21" s="9" t="str">
        <f t="shared" si="7"/>
        <v/>
      </c>
      <c r="L21" s="9" t="str">
        <f t="shared" si="7"/>
        <v/>
      </c>
      <c r="M21" s="9" t="str">
        <f t="shared" si="7"/>
        <v/>
      </c>
      <c r="N21" s="9" t="str">
        <f t="shared" si="7"/>
        <v/>
      </c>
      <c r="O21" s="9" t="str">
        <f t="shared" si="7"/>
        <v/>
      </c>
      <c r="P21" s="9" t="str">
        <f t="shared" si="7"/>
        <v/>
      </c>
      <c r="Q21" s="9" t="str">
        <f t="shared" si="7"/>
        <v/>
      </c>
      <c r="R21" s="9" t="str">
        <f t="shared" si="7"/>
        <v/>
      </c>
      <c r="U21" s="22"/>
    </row>
    <row r="22" spans="1:180" s="1" customFormat="1" ht="14.65" thickBot="1" x14ac:dyDescent="0.5">
      <c r="A22"/>
      <c r="B22" s="37"/>
      <c r="C22"/>
      <c r="D22"/>
      <c r="E22"/>
      <c r="F22" s="35" t="s">
        <v>33</v>
      </c>
      <c r="G22" s="8" t="str">
        <f>IF(G14=$B$27,1,"")</f>
        <v/>
      </c>
      <c r="H22" s="8" t="str">
        <f>IF(G22=1,1,IF(H14=$B$27,1,""))</f>
        <v/>
      </c>
      <c r="I22" s="8">
        <f t="shared" ref="I22:R22" si="8">IF(H22=1,1,IF(I14=$B$27,1,""))</f>
        <v>1</v>
      </c>
      <c r="J22" s="8">
        <f t="shared" si="8"/>
        <v>1</v>
      </c>
      <c r="K22" s="8">
        <f t="shared" si="8"/>
        <v>1</v>
      </c>
      <c r="L22" s="8">
        <f t="shared" si="8"/>
        <v>1</v>
      </c>
      <c r="M22" s="8">
        <f t="shared" si="8"/>
        <v>1</v>
      </c>
      <c r="N22" s="8">
        <f t="shared" si="8"/>
        <v>1</v>
      </c>
      <c r="O22" s="8">
        <f t="shared" si="8"/>
        <v>1</v>
      </c>
      <c r="P22" s="8">
        <f t="shared" si="8"/>
        <v>1</v>
      </c>
      <c r="Q22" s="8">
        <f t="shared" si="8"/>
        <v>1</v>
      </c>
      <c r="R22" s="8">
        <f t="shared" si="8"/>
        <v>1</v>
      </c>
      <c r="S22"/>
      <c r="T22"/>
      <c r="U22" s="22"/>
      <c r="V22"/>
      <c r="W22"/>
      <c r="X22"/>
      <c r="Y22"/>
      <c r="Z22"/>
      <c r="AA22"/>
      <c r="AB22"/>
      <c r="AC22"/>
      <c r="AD22"/>
      <c r="AE22"/>
      <c r="AF22"/>
      <c r="AG22"/>
      <c r="AH22"/>
      <c r="AI22"/>
      <c r="AJ22"/>
      <c r="AK22"/>
      <c r="AL22"/>
      <c r="AM22"/>
      <c r="AN22"/>
      <c r="AO22"/>
      <c r="AP22"/>
      <c r="AQ22"/>
      <c r="AR22"/>
      <c r="AS22"/>
      <c r="AT22"/>
      <c r="AU22"/>
      <c r="AV22"/>
      <c r="AW22"/>
      <c r="AX22"/>
      <c r="AY22"/>
      <c r="AZ22"/>
      <c r="BA22"/>
      <c r="BB22"/>
      <c r="BC22"/>
      <c r="BD22"/>
      <c r="BE22"/>
      <c r="BF22"/>
      <c r="BG22"/>
      <c r="BH22"/>
      <c r="BI22"/>
      <c r="BJ22"/>
      <c r="BK22"/>
      <c r="BL22"/>
      <c r="BM22"/>
      <c r="BN22"/>
      <c r="BO22"/>
      <c r="BP22"/>
      <c r="BQ22"/>
      <c r="BR22"/>
      <c r="BS22"/>
      <c r="BT22"/>
      <c r="BU22"/>
      <c r="BV22"/>
      <c r="BW22"/>
      <c r="BX22"/>
      <c r="BY22"/>
      <c r="BZ22"/>
      <c r="CA22"/>
      <c r="CB22"/>
      <c r="CC22"/>
      <c r="CD22"/>
      <c r="CE22"/>
      <c r="CF22"/>
      <c r="CG22"/>
      <c r="CH22"/>
      <c r="CI22"/>
      <c r="CJ22"/>
      <c r="CK22"/>
      <c r="CL22"/>
      <c r="CM22"/>
      <c r="CN22"/>
      <c r="CO22"/>
      <c r="CP22"/>
      <c r="CQ22"/>
      <c r="CR22"/>
      <c r="CS22"/>
      <c r="CT22"/>
      <c r="CU22"/>
      <c r="CV22"/>
      <c r="CW22"/>
      <c r="CX22"/>
      <c r="CY22"/>
      <c r="CZ22"/>
      <c r="DA22"/>
      <c r="DB22"/>
      <c r="DC22"/>
      <c r="DD22"/>
      <c r="DE22"/>
      <c r="DF22"/>
      <c r="DG22"/>
      <c r="DH22"/>
      <c r="DI22"/>
      <c r="DJ22"/>
      <c r="DK22"/>
      <c r="DL22"/>
      <c r="DM22"/>
      <c r="DN22"/>
      <c r="DO22"/>
      <c r="DP22"/>
      <c r="DQ22"/>
      <c r="DR22"/>
      <c r="DS22"/>
      <c r="DT22"/>
      <c r="DU22"/>
      <c r="DV22"/>
      <c r="DW22"/>
      <c r="DX22"/>
      <c r="DY22"/>
      <c r="DZ22"/>
      <c r="EA22"/>
      <c r="EB22"/>
      <c r="EC22"/>
      <c r="ED22"/>
      <c r="EE22"/>
      <c r="EF22"/>
      <c r="EG22"/>
      <c r="EH22"/>
      <c r="EI22"/>
      <c r="EJ22"/>
      <c r="EK22"/>
      <c r="EL22"/>
      <c r="EM22"/>
      <c r="EN22"/>
      <c r="EO22"/>
      <c r="EP22"/>
      <c r="EQ22"/>
      <c r="ER22"/>
      <c r="ES22"/>
      <c r="ET22"/>
      <c r="EU22"/>
      <c r="EV22"/>
      <c r="EW22"/>
      <c r="EX22"/>
      <c r="EY22"/>
      <c r="EZ22"/>
      <c r="FA22"/>
      <c r="FB22"/>
      <c r="FC22"/>
      <c r="FD22"/>
      <c r="FE22"/>
      <c r="FF22"/>
      <c r="FG22"/>
      <c r="FH22"/>
      <c r="FI22"/>
      <c r="FJ22"/>
      <c r="FK22"/>
      <c r="FL22"/>
      <c r="FM22"/>
      <c r="FN22"/>
      <c r="FO22"/>
      <c r="FP22"/>
      <c r="FQ22"/>
      <c r="FR22"/>
      <c r="FS22"/>
      <c r="FT22"/>
      <c r="FU22"/>
      <c r="FV22"/>
      <c r="FW22"/>
      <c r="FX22"/>
    </row>
    <row r="23" spans="1:180" x14ac:dyDescent="0.45">
      <c r="A23" s="11" t="s">
        <v>35</v>
      </c>
      <c r="B23" s="16" t="s">
        <v>2</v>
      </c>
      <c r="F23" s="6" t="s">
        <v>13</v>
      </c>
      <c r="G23" s="9" t="str">
        <f>IF(G22=1,$B$28,"")</f>
        <v/>
      </c>
      <c r="H23" s="9" t="str">
        <f t="shared" ref="H23:R23" si="9">IF(H22=1,$B$28,"")</f>
        <v/>
      </c>
      <c r="I23" s="9">
        <f t="shared" si="9"/>
        <v>440</v>
      </c>
      <c r="J23" s="9">
        <f t="shared" si="9"/>
        <v>440</v>
      </c>
      <c r="K23" s="9">
        <f t="shared" si="9"/>
        <v>440</v>
      </c>
      <c r="L23" s="9">
        <f t="shared" si="9"/>
        <v>440</v>
      </c>
      <c r="M23" s="9">
        <f t="shared" si="9"/>
        <v>440</v>
      </c>
      <c r="N23" s="9">
        <f t="shared" si="9"/>
        <v>440</v>
      </c>
      <c r="O23" s="9">
        <f t="shared" si="9"/>
        <v>440</v>
      </c>
      <c r="P23" s="9">
        <f t="shared" si="9"/>
        <v>440</v>
      </c>
      <c r="Q23" s="9">
        <f t="shared" si="9"/>
        <v>440</v>
      </c>
      <c r="R23" s="9">
        <f t="shared" si="9"/>
        <v>440</v>
      </c>
      <c r="U23" s="22"/>
    </row>
    <row r="24" spans="1:180" ht="14.65" thickBot="1" x14ac:dyDescent="0.5">
      <c r="A24" s="12" t="s">
        <v>18</v>
      </c>
      <c r="B24" s="41">
        <v>-700</v>
      </c>
      <c r="F24" s="6" t="s">
        <v>16</v>
      </c>
      <c r="G24" s="9" t="str">
        <f>IF(G22=1,$B$29,"")</f>
        <v/>
      </c>
      <c r="H24" s="9" t="str">
        <f t="shared" ref="H24:R24" si="10">IF(H22=1,$B$29,"")</f>
        <v/>
      </c>
      <c r="I24" s="9">
        <f t="shared" si="10"/>
        <v>0</v>
      </c>
      <c r="J24" s="9">
        <f t="shared" si="10"/>
        <v>0</v>
      </c>
      <c r="K24" s="9">
        <f t="shared" si="10"/>
        <v>0</v>
      </c>
      <c r="L24" s="9">
        <f t="shared" si="10"/>
        <v>0</v>
      </c>
      <c r="M24" s="9">
        <f t="shared" si="10"/>
        <v>0</v>
      </c>
      <c r="N24" s="9">
        <f t="shared" si="10"/>
        <v>0</v>
      </c>
      <c r="O24" s="9">
        <f t="shared" si="10"/>
        <v>0</v>
      </c>
      <c r="P24" s="9">
        <f t="shared" si="10"/>
        <v>0</v>
      </c>
      <c r="Q24" s="9">
        <f t="shared" si="10"/>
        <v>0</v>
      </c>
      <c r="R24" s="9">
        <f t="shared" si="10"/>
        <v>0</v>
      </c>
      <c r="U24" s="22"/>
    </row>
    <row r="25" spans="1:180" x14ac:dyDescent="0.45">
      <c r="F25" s="6" t="s">
        <v>14</v>
      </c>
      <c r="G25" s="9">
        <f>$B$30</f>
        <v>-202</v>
      </c>
      <c r="H25" s="9">
        <f t="shared" ref="H25:R25" si="11">$B$30</f>
        <v>-202</v>
      </c>
      <c r="I25" s="9">
        <f t="shared" si="11"/>
        <v>-202</v>
      </c>
      <c r="J25" s="9">
        <f t="shared" si="11"/>
        <v>-202</v>
      </c>
      <c r="K25" s="9">
        <f t="shared" si="11"/>
        <v>-202</v>
      </c>
      <c r="L25" s="9">
        <f t="shared" si="11"/>
        <v>-202</v>
      </c>
      <c r="M25" s="9">
        <f t="shared" si="11"/>
        <v>-202</v>
      </c>
      <c r="N25" s="9">
        <f t="shared" si="11"/>
        <v>-202</v>
      </c>
      <c r="O25" s="9">
        <f t="shared" si="11"/>
        <v>-202</v>
      </c>
      <c r="P25" s="9">
        <f t="shared" si="11"/>
        <v>-202</v>
      </c>
      <c r="Q25" s="9">
        <f t="shared" si="11"/>
        <v>-202</v>
      </c>
      <c r="R25" s="9">
        <f t="shared" si="11"/>
        <v>-202</v>
      </c>
    </row>
    <row r="26" spans="1:180" ht="14.65" thickBot="1" x14ac:dyDescent="0.5">
      <c r="F26" s="6" t="s">
        <v>17</v>
      </c>
      <c r="G26" s="9" t="str">
        <f t="shared" ref="G26:R26" si="12">IF(G22=1,$B$31,"")</f>
        <v/>
      </c>
      <c r="H26" s="9" t="str">
        <f t="shared" si="12"/>
        <v/>
      </c>
      <c r="I26" s="9">
        <f t="shared" si="12"/>
        <v>-40</v>
      </c>
      <c r="J26" s="9">
        <f t="shared" si="12"/>
        <v>-40</v>
      </c>
      <c r="K26" s="9">
        <f t="shared" si="12"/>
        <v>-40</v>
      </c>
      <c r="L26" s="9">
        <f t="shared" si="12"/>
        <v>-40</v>
      </c>
      <c r="M26" s="9">
        <f t="shared" si="12"/>
        <v>-40</v>
      </c>
      <c r="N26" s="9">
        <f t="shared" si="12"/>
        <v>-40</v>
      </c>
      <c r="O26" s="9">
        <f t="shared" si="12"/>
        <v>-40</v>
      </c>
      <c r="P26" s="9">
        <f t="shared" si="12"/>
        <v>-40</v>
      </c>
      <c r="Q26" s="9">
        <f t="shared" si="12"/>
        <v>-40</v>
      </c>
      <c r="R26" s="9">
        <f t="shared" si="12"/>
        <v>-40</v>
      </c>
    </row>
    <row r="27" spans="1:180" x14ac:dyDescent="0.45">
      <c r="A27" s="13" t="s">
        <v>33</v>
      </c>
      <c r="B27" s="16" t="s">
        <v>2</v>
      </c>
      <c r="F27" s="6" t="s">
        <v>18</v>
      </c>
      <c r="G27" s="9" t="str">
        <f t="shared" ref="G27:R27" si="13">IF(G22=1,$B$32,"")</f>
        <v/>
      </c>
      <c r="H27" s="9" t="str">
        <f t="shared" si="13"/>
        <v/>
      </c>
      <c r="I27" s="9">
        <f t="shared" si="13"/>
        <v>0</v>
      </c>
      <c r="J27" s="9">
        <f t="shared" si="13"/>
        <v>0</v>
      </c>
      <c r="K27" s="9">
        <f t="shared" si="13"/>
        <v>0</v>
      </c>
      <c r="L27" s="9">
        <f t="shared" si="13"/>
        <v>0</v>
      </c>
      <c r="M27" s="9">
        <f t="shared" si="13"/>
        <v>0</v>
      </c>
      <c r="N27" s="9">
        <f t="shared" si="13"/>
        <v>0</v>
      </c>
      <c r="O27" s="9">
        <f t="shared" si="13"/>
        <v>0</v>
      </c>
      <c r="P27" s="9">
        <f t="shared" si="13"/>
        <v>0</v>
      </c>
      <c r="Q27" s="9">
        <f t="shared" si="13"/>
        <v>0</v>
      </c>
      <c r="R27" s="9">
        <f t="shared" si="13"/>
        <v>0</v>
      </c>
    </row>
    <row r="28" spans="1:180" x14ac:dyDescent="0.45">
      <c r="A28" s="14" t="s">
        <v>13</v>
      </c>
      <c r="B28" s="39">
        <v>440</v>
      </c>
      <c r="F28" s="35" t="s">
        <v>34</v>
      </c>
      <c r="G28" s="8" t="str">
        <f>IF(G14=$B$36,1,"")</f>
        <v/>
      </c>
      <c r="H28" s="8" t="str">
        <f t="shared" ref="H28:R28" si="14">IF(G28=1,1,IF(H14=$B$36,1,""))</f>
        <v/>
      </c>
      <c r="I28" s="8" t="str">
        <f t="shared" si="14"/>
        <v/>
      </c>
      <c r="J28" s="8" t="str">
        <f t="shared" si="14"/>
        <v/>
      </c>
      <c r="K28" s="8">
        <f t="shared" si="14"/>
        <v>1</v>
      </c>
      <c r="L28" s="8">
        <f t="shared" si="14"/>
        <v>1</v>
      </c>
      <c r="M28" s="8">
        <f t="shared" si="14"/>
        <v>1</v>
      </c>
      <c r="N28" s="8">
        <f t="shared" si="14"/>
        <v>1</v>
      </c>
      <c r="O28" s="8">
        <f t="shared" si="14"/>
        <v>1</v>
      </c>
      <c r="P28" s="8">
        <f t="shared" si="14"/>
        <v>1</v>
      </c>
      <c r="Q28" s="8">
        <f t="shared" si="14"/>
        <v>1</v>
      </c>
      <c r="R28" s="8">
        <f t="shared" si="14"/>
        <v>1</v>
      </c>
    </row>
    <row r="29" spans="1:180" s="1" customFormat="1" x14ac:dyDescent="0.45">
      <c r="A29" s="14" t="s">
        <v>16</v>
      </c>
      <c r="B29" s="39"/>
      <c r="C29"/>
      <c r="D29"/>
      <c r="E29"/>
      <c r="F29" s="6" t="s">
        <v>13</v>
      </c>
      <c r="G29" s="9" t="str">
        <f>IF(G28=1,$B$37,"")</f>
        <v/>
      </c>
      <c r="H29" s="9" t="str">
        <f t="shared" ref="H29:R29" si="15">IF(H28=1,$B$37,"")</f>
        <v/>
      </c>
      <c r="I29" s="9" t="str">
        <f t="shared" si="15"/>
        <v/>
      </c>
      <c r="J29" s="9" t="str">
        <f t="shared" si="15"/>
        <v/>
      </c>
      <c r="K29" s="9">
        <f t="shared" si="15"/>
        <v>600</v>
      </c>
      <c r="L29" s="9">
        <f t="shared" si="15"/>
        <v>600</v>
      </c>
      <c r="M29" s="9">
        <f t="shared" si="15"/>
        <v>600</v>
      </c>
      <c r="N29" s="9">
        <f t="shared" si="15"/>
        <v>600</v>
      </c>
      <c r="O29" s="9">
        <f t="shared" si="15"/>
        <v>600</v>
      </c>
      <c r="P29" s="9">
        <f t="shared" si="15"/>
        <v>600</v>
      </c>
      <c r="Q29" s="9">
        <f t="shared" si="15"/>
        <v>600</v>
      </c>
      <c r="R29" s="9">
        <f t="shared" si="15"/>
        <v>600</v>
      </c>
      <c r="S29"/>
      <c r="T29"/>
      <c r="U29"/>
      <c r="V29"/>
      <c r="W29"/>
      <c r="X29"/>
      <c r="Y29"/>
      <c r="Z29"/>
      <c r="AA29"/>
      <c r="AB29"/>
      <c r="AC29"/>
      <c r="AD29"/>
      <c r="AE29"/>
      <c r="AF29"/>
      <c r="AG29"/>
      <c r="AH29"/>
      <c r="AI29"/>
      <c r="AJ29"/>
      <c r="AK29"/>
      <c r="AL29"/>
      <c r="AM29"/>
      <c r="AN29"/>
      <c r="AO29"/>
      <c r="AP29"/>
      <c r="AQ29"/>
      <c r="AR29"/>
      <c r="AS29"/>
      <c r="AT29"/>
      <c r="AU29"/>
      <c r="AV29"/>
      <c r="AW29"/>
      <c r="AX29"/>
      <c r="AY29"/>
      <c r="AZ29"/>
      <c r="BA29"/>
      <c r="BB29"/>
      <c r="BC29"/>
      <c r="BD29"/>
      <c r="BE29"/>
      <c r="BF29"/>
      <c r="BG29"/>
      <c r="BH29"/>
      <c r="BI29"/>
      <c r="BJ29"/>
      <c r="BK29"/>
      <c r="BL29"/>
      <c r="BM29"/>
      <c r="BN29"/>
      <c r="BO29"/>
      <c r="BP29"/>
      <c r="BQ29"/>
      <c r="BR29"/>
      <c r="BS29"/>
      <c r="BT29"/>
      <c r="BU29"/>
      <c r="BV29"/>
      <c r="BW29"/>
      <c r="BX29"/>
      <c r="BY29"/>
      <c r="BZ29"/>
      <c r="CA29"/>
      <c r="CB29"/>
      <c r="CC29"/>
      <c r="CD29"/>
      <c r="CE29"/>
      <c r="CF29"/>
      <c r="CG29"/>
      <c r="CH29"/>
      <c r="CI29"/>
      <c r="CJ29"/>
      <c r="CK29"/>
      <c r="CL29"/>
      <c r="CM29"/>
      <c r="CN29"/>
      <c r="CO29"/>
      <c r="CP29"/>
      <c r="CQ29"/>
      <c r="CR29"/>
      <c r="CS29"/>
      <c r="CT29"/>
      <c r="CU29"/>
      <c r="CV29"/>
      <c r="CW29"/>
      <c r="CX29"/>
      <c r="CY29"/>
      <c r="CZ29"/>
      <c r="DA29"/>
      <c r="DB29"/>
      <c r="DC29"/>
      <c r="DD29"/>
      <c r="DE29"/>
      <c r="DF29"/>
      <c r="DG29"/>
      <c r="DH29"/>
      <c r="DI29"/>
      <c r="DJ29"/>
      <c r="DK29"/>
      <c r="DL29"/>
      <c r="DM29"/>
      <c r="DN29"/>
      <c r="DO29"/>
      <c r="DP29"/>
      <c r="DQ29"/>
      <c r="DR29"/>
      <c r="DS29"/>
      <c r="DT29"/>
      <c r="DU29"/>
      <c r="DV29"/>
      <c r="DW29"/>
      <c r="DX29"/>
      <c r="DY29"/>
      <c r="DZ29"/>
      <c r="EA29"/>
      <c r="EB29"/>
      <c r="EC29"/>
      <c r="ED29"/>
      <c r="EE29"/>
      <c r="EF29"/>
      <c r="EG29"/>
      <c r="EH29"/>
      <c r="EI29"/>
      <c r="EJ29"/>
      <c r="EK29"/>
      <c r="EL29"/>
      <c r="EM29"/>
      <c r="EN29"/>
      <c r="EO29"/>
      <c r="EP29"/>
      <c r="EQ29"/>
      <c r="ER29"/>
      <c r="ES29"/>
      <c r="ET29"/>
      <c r="EU29"/>
      <c r="EV29"/>
      <c r="EW29"/>
      <c r="EX29"/>
      <c r="EY29"/>
      <c r="EZ29"/>
      <c r="FA29"/>
      <c r="FB29"/>
      <c r="FC29"/>
      <c r="FD29"/>
      <c r="FE29"/>
      <c r="FF29"/>
      <c r="FG29"/>
      <c r="FH29"/>
      <c r="FI29"/>
      <c r="FJ29"/>
      <c r="FK29"/>
      <c r="FL29"/>
      <c r="FM29"/>
      <c r="FN29"/>
      <c r="FO29"/>
      <c r="FP29"/>
      <c r="FQ29"/>
      <c r="FR29"/>
      <c r="FS29"/>
      <c r="FT29"/>
      <c r="FU29"/>
      <c r="FV29"/>
      <c r="FW29"/>
      <c r="FX29"/>
    </row>
    <row r="30" spans="1:180" x14ac:dyDescent="0.45">
      <c r="A30" s="14" t="s">
        <v>14</v>
      </c>
      <c r="B30" s="39">
        <v>-202</v>
      </c>
      <c r="F30" s="6" t="s">
        <v>16</v>
      </c>
      <c r="G30" s="9" t="str">
        <f>IF(G28=1,$B$38,"")</f>
        <v/>
      </c>
      <c r="H30" s="9" t="str">
        <f t="shared" ref="H30:R30" si="16">IF(H28=1,$B$38,"")</f>
        <v/>
      </c>
      <c r="I30" s="9" t="str">
        <f t="shared" si="16"/>
        <v/>
      </c>
      <c r="J30" s="9" t="str">
        <f t="shared" si="16"/>
        <v/>
      </c>
      <c r="K30" s="9">
        <f t="shared" si="16"/>
        <v>51</v>
      </c>
      <c r="L30" s="9">
        <f t="shared" si="16"/>
        <v>51</v>
      </c>
      <c r="M30" s="9">
        <f t="shared" si="16"/>
        <v>51</v>
      </c>
      <c r="N30" s="9">
        <f t="shared" si="16"/>
        <v>51</v>
      </c>
      <c r="O30" s="9">
        <f t="shared" si="16"/>
        <v>51</v>
      </c>
      <c r="P30" s="9">
        <f t="shared" si="16"/>
        <v>51</v>
      </c>
      <c r="Q30" s="9">
        <f t="shared" si="16"/>
        <v>51</v>
      </c>
      <c r="R30" s="9">
        <f t="shared" si="16"/>
        <v>51</v>
      </c>
    </row>
    <row r="31" spans="1:180" x14ac:dyDescent="0.45">
      <c r="A31" s="14" t="s">
        <v>17</v>
      </c>
      <c r="B31" s="39">
        <v>-40</v>
      </c>
      <c r="F31" s="6" t="s">
        <v>14</v>
      </c>
      <c r="G31" s="9">
        <f>$B$39</f>
        <v>-121</v>
      </c>
      <c r="H31" s="9">
        <f t="shared" ref="H31:R31" si="17">$B$39</f>
        <v>-121</v>
      </c>
      <c r="I31" s="9">
        <f t="shared" si="17"/>
        <v>-121</v>
      </c>
      <c r="J31" s="9">
        <f t="shared" si="17"/>
        <v>-121</v>
      </c>
      <c r="K31" s="9">
        <f t="shared" si="17"/>
        <v>-121</v>
      </c>
      <c r="L31" s="9">
        <f t="shared" si="17"/>
        <v>-121</v>
      </c>
      <c r="M31" s="9">
        <f t="shared" si="17"/>
        <v>-121</v>
      </c>
      <c r="N31" s="9">
        <f t="shared" si="17"/>
        <v>-121</v>
      </c>
      <c r="O31" s="9">
        <f t="shared" si="17"/>
        <v>-121</v>
      </c>
      <c r="P31" s="9">
        <f t="shared" si="17"/>
        <v>-121</v>
      </c>
      <c r="Q31" s="9">
        <f t="shared" si="17"/>
        <v>-121</v>
      </c>
      <c r="R31" s="9">
        <f t="shared" si="17"/>
        <v>-121</v>
      </c>
    </row>
    <row r="32" spans="1:180" ht="14.65" thickBot="1" x14ac:dyDescent="0.5">
      <c r="A32" s="15" t="s">
        <v>18</v>
      </c>
      <c r="B32" s="40"/>
      <c r="F32" s="6" t="s">
        <v>15</v>
      </c>
      <c r="G32" s="9">
        <f>$B$40</f>
        <v>-44</v>
      </c>
      <c r="H32" s="9">
        <f t="shared" ref="H32:R32" si="18">$B$40</f>
        <v>-44</v>
      </c>
      <c r="I32" s="9">
        <f t="shared" si="18"/>
        <v>-44</v>
      </c>
      <c r="J32" s="9">
        <f t="shared" si="18"/>
        <v>-44</v>
      </c>
      <c r="K32" s="9">
        <f t="shared" si="18"/>
        <v>-44</v>
      </c>
      <c r="L32" s="9">
        <f t="shared" si="18"/>
        <v>-44</v>
      </c>
      <c r="M32" s="9">
        <f t="shared" si="18"/>
        <v>-44</v>
      </c>
      <c r="N32" s="9">
        <f t="shared" si="18"/>
        <v>-44</v>
      </c>
      <c r="O32" s="9">
        <f t="shared" si="18"/>
        <v>-44</v>
      </c>
      <c r="P32" s="9">
        <f t="shared" si="18"/>
        <v>-44</v>
      </c>
      <c r="Q32" s="9">
        <f t="shared" si="18"/>
        <v>-44</v>
      </c>
      <c r="R32" s="9">
        <f t="shared" si="18"/>
        <v>-44</v>
      </c>
    </row>
    <row r="33" spans="1:180" x14ac:dyDescent="0.45">
      <c r="F33" s="6" t="s">
        <v>17</v>
      </c>
      <c r="G33" s="9" t="str">
        <f>IF(G28=1,$B$41,"")</f>
        <v/>
      </c>
      <c r="H33" s="9" t="str">
        <f t="shared" ref="H33:R33" si="19">IF(H28=1,$B$41,"")</f>
        <v/>
      </c>
      <c r="I33" s="9" t="str">
        <f t="shared" si="19"/>
        <v/>
      </c>
      <c r="J33" s="9" t="str">
        <f t="shared" si="19"/>
        <v/>
      </c>
      <c r="K33" s="9">
        <f t="shared" si="19"/>
        <v>-51</v>
      </c>
      <c r="L33" s="9">
        <f t="shared" si="19"/>
        <v>-51</v>
      </c>
      <c r="M33" s="9">
        <f t="shared" si="19"/>
        <v>-51</v>
      </c>
      <c r="N33" s="9">
        <f t="shared" si="19"/>
        <v>-51</v>
      </c>
      <c r="O33" s="9">
        <f t="shared" si="19"/>
        <v>-51</v>
      </c>
      <c r="P33" s="9">
        <f t="shared" si="19"/>
        <v>-51</v>
      </c>
      <c r="Q33" s="9">
        <f t="shared" si="19"/>
        <v>-51</v>
      </c>
      <c r="R33" s="9">
        <f t="shared" si="19"/>
        <v>-51</v>
      </c>
    </row>
    <row r="34" spans="1:180" x14ac:dyDescent="0.45">
      <c r="F34" s="35" t="s">
        <v>48</v>
      </c>
      <c r="G34" s="35">
        <f>IF(G14=$B$43,1,"")</f>
        <v>1</v>
      </c>
      <c r="H34" s="35">
        <f>IF(H14=$B$43,1,IF(AND(G34=1,SUM($G$34:G34)&lt;$B$44),1,""))</f>
        <v>1</v>
      </c>
      <c r="I34" s="35">
        <f>IF(I14=$B$43,1,IF(AND(H34=1,SUM($G$34:H34)&lt;$B$44),1,""))</f>
        <v>1</v>
      </c>
      <c r="J34" s="35">
        <f>IF(J14=$B$43,1,IF(AND(I34=1,SUM($G$34:I34)&lt;$B$44),1,""))</f>
        <v>1</v>
      </c>
      <c r="K34" s="35" t="str">
        <f>IF(K14=$B$43,1,IF(AND(J34=1,SUM($G$34:J34)&lt;$B$44),1,""))</f>
        <v/>
      </c>
      <c r="L34" s="35" t="str">
        <f>IF(L14=$B$43,1,IF(AND(K34=1,SUM($G$34:K34)&lt;$B$44),1,""))</f>
        <v/>
      </c>
      <c r="M34" s="35" t="str">
        <f>IF(M14=$B$43,1,IF(AND(L34=1,SUM($G$34:L34)&lt;$B$44),1,""))</f>
        <v/>
      </c>
      <c r="N34" s="35" t="str">
        <f>IF(N14=$B$43,1,IF(AND(M34=1,SUM($G$34:M34)&lt;$B$44),1,""))</f>
        <v/>
      </c>
      <c r="O34" s="35" t="str">
        <f>IF(O14=$B$43,1,IF(AND(N34=1,SUM($G$34:N34)&lt;$B$44),1,""))</f>
        <v/>
      </c>
      <c r="P34" s="35" t="str">
        <f>IF(P14=$B$43,1,IF(AND(O34=1,SUM($G$34:O34)&lt;$B$44),1,""))</f>
        <v/>
      </c>
      <c r="Q34" s="35" t="str">
        <f>IF(Q14=$B$43,1,IF(AND(P34=1,SUM($G$34:P34)&lt;$B$44),1,""))</f>
        <v/>
      </c>
      <c r="R34" s="35" t="str">
        <f>IF(R14=$B$43,1,IF(AND(Q34=1,SUM($G$34:Q34)&lt;$B$44),1,""))</f>
        <v/>
      </c>
    </row>
    <row r="35" spans="1:180" x14ac:dyDescent="0.45">
      <c r="F35" s="6" t="s">
        <v>51</v>
      </c>
      <c r="G35" s="9">
        <f>IF(G34=1,$B$45/$B$44,"")</f>
        <v>-1000</v>
      </c>
      <c r="H35" s="9">
        <f t="shared" ref="H35:R35" si="20">IF(H34=1,$B$45/$B$44,"")</f>
        <v>-1000</v>
      </c>
      <c r="I35" s="9">
        <f t="shared" si="20"/>
        <v>-1000</v>
      </c>
      <c r="J35" s="9">
        <f t="shared" si="20"/>
        <v>-1000</v>
      </c>
      <c r="K35" s="9" t="str">
        <f t="shared" si="20"/>
        <v/>
      </c>
      <c r="L35" s="9" t="str">
        <f t="shared" si="20"/>
        <v/>
      </c>
      <c r="M35" s="9" t="str">
        <f t="shared" si="20"/>
        <v/>
      </c>
      <c r="N35" s="9" t="str">
        <f t="shared" si="20"/>
        <v/>
      </c>
      <c r="O35" s="9" t="str">
        <f t="shared" si="20"/>
        <v/>
      </c>
      <c r="P35" s="9" t="str">
        <f t="shared" si="20"/>
        <v/>
      </c>
      <c r="Q35" s="9" t="str">
        <f t="shared" si="20"/>
        <v/>
      </c>
      <c r="R35" s="9" t="str">
        <f t="shared" si="20"/>
        <v/>
      </c>
    </row>
    <row r="36" spans="1:180" x14ac:dyDescent="0.45">
      <c r="A36" s="9" t="s">
        <v>34</v>
      </c>
      <c r="B36" s="42" t="str">
        <f>VLOOKUP($T$12,SC,3,FALSE)</f>
        <v>May</v>
      </c>
      <c r="F36" s="35" t="s">
        <v>41</v>
      </c>
      <c r="G36" s="7">
        <f>IF(G14=$B$47,1,"")</f>
        <v>1</v>
      </c>
      <c r="H36" s="7">
        <f t="shared" ref="H36:R36" si="21">IF(G36=1,1,IF(H14=$B$47,1,""))</f>
        <v>1</v>
      </c>
      <c r="I36" s="7">
        <f t="shared" si="21"/>
        <v>1</v>
      </c>
      <c r="J36" s="7">
        <f t="shared" si="21"/>
        <v>1</v>
      </c>
      <c r="K36" s="7">
        <f t="shared" si="21"/>
        <v>1</v>
      </c>
      <c r="L36" s="7">
        <f t="shared" si="21"/>
        <v>1</v>
      </c>
      <c r="M36" s="7">
        <f t="shared" si="21"/>
        <v>1</v>
      </c>
      <c r="N36" s="7">
        <f t="shared" si="21"/>
        <v>1</v>
      </c>
      <c r="O36" s="7">
        <f t="shared" si="21"/>
        <v>1</v>
      </c>
      <c r="P36" s="7">
        <f t="shared" si="21"/>
        <v>1</v>
      </c>
      <c r="Q36" s="7">
        <f t="shared" si="21"/>
        <v>1</v>
      </c>
      <c r="R36" s="7">
        <f t="shared" si="21"/>
        <v>1</v>
      </c>
    </row>
    <row r="37" spans="1:180" s="1" customFormat="1" x14ac:dyDescent="0.45">
      <c r="A37" s="9" t="s">
        <v>13</v>
      </c>
      <c r="B37" s="42">
        <v>600</v>
      </c>
      <c r="C37"/>
      <c r="D37"/>
      <c r="E37"/>
      <c r="F37" s="6" t="s">
        <v>19</v>
      </c>
      <c r="G37" s="19">
        <f t="shared" ref="G37:R37" si="22">IF(G36=1,$B$48,"")</f>
        <v>-10</v>
      </c>
      <c r="H37" s="19">
        <f t="shared" si="22"/>
        <v>-10</v>
      </c>
      <c r="I37" s="19">
        <f t="shared" si="22"/>
        <v>-10</v>
      </c>
      <c r="J37" s="19">
        <f t="shared" si="22"/>
        <v>-10</v>
      </c>
      <c r="K37" s="19">
        <f t="shared" si="22"/>
        <v>-10</v>
      </c>
      <c r="L37" s="19">
        <f t="shared" si="22"/>
        <v>-10</v>
      </c>
      <c r="M37" s="19">
        <f t="shared" si="22"/>
        <v>-10</v>
      </c>
      <c r="N37" s="19">
        <f t="shared" si="22"/>
        <v>-10</v>
      </c>
      <c r="O37" s="19">
        <f t="shared" si="22"/>
        <v>-10</v>
      </c>
      <c r="P37" s="19">
        <f t="shared" si="22"/>
        <v>-10</v>
      </c>
      <c r="Q37" s="19">
        <f t="shared" si="22"/>
        <v>-10</v>
      </c>
      <c r="R37" s="19">
        <f t="shared" si="22"/>
        <v>-10</v>
      </c>
      <c r="S37"/>
      <c r="T37"/>
      <c r="U37"/>
      <c r="V37"/>
      <c r="W37"/>
      <c r="X37"/>
      <c r="Y37"/>
      <c r="Z37"/>
      <c r="AA37"/>
      <c r="AB37"/>
      <c r="AC37"/>
      <c r="AD37"/>
      <c r="AE37"/>
      <c r="AF37"/>
      <c r="AG37"/>
      <c r="AH37"/>
      <c r="AI37"/>
      <c r="AJ37"/>
      <c r="AK37"/>
      <c r="AL37"/>
      <c r="AM37"/>
      <c r="AN37"/>
      <c r="AO37"/>
      <c r="AP37"/>
      <c r="AQ37"/>
      <c r="AR37"/>
      <c r="AS37"/>
      <c r="AT37"/>
      <c r="AU37"/>
      <c r="AV37"/>
      <c r="AW37"/>
      <c r="AX37"/>
      <c r="AY37"/>
      <c r="AZ37"/>
      <c r="BA37"/>
      <c r="BB37"/>
      <c r="BC37"/>
      <c r="BD37"/>
      <c r="BE37"/>
      <c r="BF37"/>
      <c r="BG37"/>
      <c r="BH37"/>
      <c r="BI37"/>
      <c r="BJ37"/>
      <c r="BK37"/>
      <c r="BL37"/>
      <c r="BM37"/>
      <c r="BN37"/>
      <c r="BO37"/>
      <c r="BP37"/>
      <c r="BQ37"/>
      <c r="BR37"/>
      <c r="BS37"/>
      <c r="BT37"/>
      <c r="BU37"/>
      <c r="BV37"/>
      <c r="BW37"/>
      <c r="BX37"/>
      <c r="BY37"/>
      <c r="BZ37"/>
      <c r="CA37"/>
      <c r="CB37"/>
      <c r="CC37"/>
      <c r="CD37"/>
      <c r="CE37"/>
      <c r="CF37"/>
      <c r="CG37"/>
      <c r="CH37"/>
      <c r="CI37"/>
      <c r="CJ37"/>
      <c r="CK37"/>
      <c r="CL37"/>
      <c r="CM37"/>
      <c r="CN37"/>
      <c r="CO37"/>
      <c r="CP37"/>
      <c r="CQ37"/>
      <c r="CR37"/>
      <c r="CS37"/>
      <c r="CT37"/>
      <c r="CU37"/>
      <c r="CV37"/>
      <c r="CW37"/>
      <c r="CX37"/>
      <c r="CY37"/>
      <c r="CZ37"/>
      <c r="DA37"/>
      <c r="DB37"/>
      <c r="DC37"/>
      <c r="DD37"/>
      <c r="DE37"/>
      <c r="DF37"/>
      <c r="DG37"/>
      <c r="DH37"/>
      <c r="DI37"/>
      <c r="DJ37"/>
      <c r="DK37"/>
      <c r="DL37"/>
      <c r="DM37"/>
      <c r="DN37"/>
      <c r="DO37"/>
      <c r="DP37"/>
      <c r="DQ37"/>
      <c r="DR37"/>
      <c r="DS37"/>
      <c r="DT37"/>
      <c r="DU37"/>
      <c r="DV37"/>
      <c r="DW37"/>
      <c r="DX37"/>
      <c r="DY37"/>
      <c r="DZ37"/>
      <c r="EA37"/>
      <c r="EB37"/>
      <c r="EC37"/>
      <c r="ED37"/>
      <c r="EE37"/>
      <c r="EF37"/>
      <c r="EG37"/>
      <c r="EH37"/>
      <c r="EI37"/>
      <c r="EJ37"/>
      <c r="EK37"/>
      <c r="EL37"/>
      <c r="EM37"/>
      <c r="EN37"/>
      <c r="EO37"/>
      <c r="EP37"/>
      <c r="EQ37"/>
      <c r="ER37"/>
      <c r="ES37"/>
      <c r="ET37"/>
      <c r="EU37"/>
      <c r="EV37"/>
      <c r="EW37"/>
      <c r="EX37"/>
      <c r="EY37"/>
      <c r="EZ37"/>
      <c r="FA37"/>
      <c r="FB37"/>
      <c r="FC37"/>
      <c r="FD37"/>
      <c r="FE37"/>
      <c r="FF37"/>
      <c r="FG37"/>
      <c r="FH37"/>
      <c r="FI37"/>
      <c r="FJ37"/>
      <c r="FK37"/>
      <c r="FL37"/>
      <c r="FM37"/>
      <c r="FN37"/>
      <c r="FO37"/>
      <c r="FP37"/>
      <c r="FQ37"/>
      <c r="FR37"/>
      <c r="FS37"/>
      <c r="FT37"/>
      <c r="FU37"/>
      <c r="FV37"/>
      <c r="FW37"/>
      <c r="FX37"/>
    </row>
    <row r="38" spans="1:180" x14ac:dyDescent="0.45">
      <c r="A38" s="9" t="s">
        <v>16</v>
      </c>
      <c r="B38" s="42">
        <v>51</v>
      </c>
      <c r="F38" s="35" t="s">
        <v>40</v>
      </c>
      <c r="G38" s="7">
        <f>IF(G14=$B$50,1,"")</f>
        <v>1</v>
      </c>
      <c r="H38" s="7">
        <f t="shared" ref="H38:R38" si="23">IF(G36=1,1,IF(H14=$B$50,1,""))</f>
        <v>1</v>
      </c>
      <c r="I38" s="7">
        <f t="shared" si="23"/>
        <v>1</v>
      </c>
      <c r="J38" s="7">
        <f t="shared" si="23"/>
        <v>1</v>
      </c>
      <c r="K38" s="7">
        <f t="shared" si="23"/>
        <v>1</v>
      </c>
      <c r="L38" s="7">
        <f t="shared" si="23"/>
        <v>1</v>
      </c>
      <c r="M38" s="7">
        <f t="shared" si="23"/>
        <v>1</v>
      </c>
      <c r="N38" s="7">
        <f t="shared" si="23"/>
        <v>1</v>
      </c>
      <c r="O38" s="7">
        <f t="shared" si="23"/>
        <v>1</v>
      </c>
      <c r="P38" s="7">
        <f t="shared" si="23"/>
        <v>1</v>
      </c>
      <c r="Q38" s="7">
        <f t="shared" si="23"/>
        <v>1</v>
      </c>
      <c r="R38" s="7">
        <f t="shared" si="23"/>
        <v>1</v>
      </c>
    </row>
    <row r="39" spans="1:180" x14ac:dyDescent="0.45">
      <c r="A39" s="9" t="s">
        <v>14</v>
      </c>
      <c r="B39" s="42">
        <v>-121</v>
      </c>
      <c r="F39" s="6" t="s">
        <v>20</v>
      </c>
      <c r="G39" s="9">
        <f t="shared" ref="G39:R39" si="24">IF(G38=1,$B$51,"")</f>
        <v>-55</v>
      </c>
      <c r="H39" s="9">
        <f t="shared" si="24"/>
        <v>-55</v>
      </c>
      <c r="I39" s="9">
        <f t="shared" si="24"/>
        <v>-55</v>
      </c>
      <c r="J39" s="9">
        <f t="shared" si="24"/>
        <v>-55</v>
      </c>
      <c r="K39" s="9">
        <f t="shared" si="24"/>
        <v>-55</v>
      </c>
      <c r="L39" s="9">
        <f t="shared" si="24"/>
        <v>-55</v>
      </c>
      <c r="M39" s="9">
        <f t="shared" si="24"/>
        <v>-55</v>
      </c>
      <c r="N39" s="9">
        <f t="shared" si="24"/>
        <v>-55</v>
      </c>
      <c r="O39" s="9">
        <f t="shared" si="24"/>
        <v>-55</v>
      </c>
      <c r="P39" s="9">
        <f t="shared" si="24"/>
        <v>-55</v>
      </c>
      <c r="Q39" s="9">
        <f t="shared" si="24"/>
        <v>-55</v>
      </c>
      <c r="R39" s="9">
        <f t="shared" si="24"/>
        <v>-55</v>
      </c>
    </row>
    <row r="40" spans="1:180" x14ac:dyDescent="0.45">
      <c r="A40" s="9" t="s">
        <v>15</v>
      </c>
      <c r="B40" s="42">
        <v>-44</v>
      </c>
      <c r="F40" s="6" t="s">
        <v>21</v>
      </c>
      <c r="G40" s="9" t="str">
        <f t="shared" ref="G40:R40" si="25">IF(G14=$B$53,$B$54,"")</f>
        <v/>
      </c>
      <c r="H40" s="9" t="str">
        <f t="shared" si="25"/>
        <v/>
      </c>
      <c r="I40" s="9">
        <f t="shared" si="25"/>
        <v>-300</v>
      </c>
      <c r="J40" s="9" t="str">
        <f t="shared" si="25"/>
        <v/>
      </c>
      <c r="K40" s="9" t="str">
        <f t="shared" si="25"/>
        <v/>
      </c>
      <c r="L40" s="9" t="str">
        <f t="shared" si="25"/>
        <v/>
      </c>
      <c r="M40" s="9" t="str">
        <f t="shared" si="25"/>
        <v/>
      </c>
      <c r="N40" s="9" t="str">
        <f t="shared" si="25"/>
        <v/>
      </c>
      <c r="O40" s="9" t="str">
        <f t="shared" si="25"/>
        <v/>
      </c>
      <c r="P40" s="9" t="str">
        <f t="shared" si="25"/>
        <v/>
      </c>
      <c r="Q40" s="9" t="str">
        <f t="shared" si="25"/>
        <v/>
      </c>
      <c r="R40" s="9" t="str">
        <f t="shared" si="25"/>
        <v/>
      </c>
    </row>
    <row r="41" spans="1:180" x14ac:dyDescent="0.45">
      <c r="A41" s="9" t="s">
        <v>17</v>
      </c>
      <c r="B41" s="42">
        <v>-51</v>
      </c>
      <c r="F41" s="6" t="s">
        <v>22</v>
      </c>
      <c r="G41" s="9" t="str">
        <f t="shared" ref="G41:R41" si="26">IF(G14=$B$56,$B$57,"")</f>
        <v/>
      </c>
      <c r="H41" s="9" t="str">
        <f t="shared" si="26"/>
        <v/>
      </c>
      <c r="I41" s="9" t="str">
        <f t="shared" si="26"/>
        <v/>
      </c>
      <c r="J41" s="9" t="str">
        <f t="shared" si="26"/>
        <v/>
      </c>
      <c r="K41" s="9" t="str">
        <f t="shared" si="26"/>
        <v/>
      </c>
      <c r="L41" s="9" t="str">
        <f t="shared" si="26"/>
        <v/>
      </c>
      <c r="M41" s="9" t="str">
        <f t="shared" si="26"/>
        <v/>
      </c>
      <c r="N41" s="9" t="str">
        <f t="shared" si="26"/>
        <v/>
      </c>
      <c r="O41" s="9" t="str">
        <f t="shared" si="26"/>
        <v/>
      </c>
      <c r="P41" s="9">
        <f t="shared" si="26"/>
        <v>-440</v>
      </c>
      <c r="Q41" s="9" t="str">
        <f t="shared" si="26"/>
        <v/>
      </c>
      <c r="R41" s="9" t="str">
        <f t="shared" si="26"/>
        <v/>
      </c>
    </row>
    <row r="42" spans="1:180" ht="14.65" thickBot="1" x14ac:dyDescent="0.5">
      <c r="F42" s="6" t="s">
        <v>23</v>
      </c>
      <c r="G42" s="9"/>
      <c r="H42" s="9"/>
      <c r="I42" s="9">
        <f>B59</f>
        <v>-100</v>
      </c>
      <c r="J42" s="9"/>
      <c r="K42" s="9"/>
      <c r="L42" s="9">
        <f>B59</f>
        <v>-100</v>
      </c>
      <c r="M42" s="9"/>
      <c r="N42" s="9"/>
      <c r="O42" s="9">
        <f>B59</f>
        <v>-100</v>
      </c>
      <c r="P42" s="19"/>
      <c r="Q42" s="9"/>
      <c r="R42" s="9">
        <f>B59</f>
        <v>-100</v>
      </c>
    </row>
    <row r="43" spans="1:180" x14ac:dyDescent="0.45">
      <c r="A43" s="13" t="s">
        <v>48</v>
      </c>
      <c r="B43" s="16" t="str">
        <f>VLOOKUP(T12,SC,4,FALSE)</f>
        <v>January</v>
      </c>
      <c r="F43" s="6" t="s">
        <v>46</v>
      </c>
      <c r="G43" s="9" t="str">
        <f t="shared" ref="G43:R43" si="27">IF(G14=$B$62,$B$63,"")</f>
        <v/>
      </c>
      <c r="H43" s="9" t="str">
        <f t="shared" si="27"/>
        <v/>
      </c>
      <c r="I43" s="9" t="str">
        <f t="shared" si="27"/>
        <v/>
      </c>
      <c r="J43" s="9" t="str">
        <f t="shared" si="27"/>
        <v/>
      </c>
      <c r="K43" s="9" t="str">
        <f t="shared" si="27"/>
        <v/>
      </c>
      <c r="L43" s="9" t="str">
        <f t="shared" si="27"/>
        <v/>
      </c>
      <c r="M43" s="9" t="str">
        <f t="shared" si="27"/>
        <v/>
      </c>
      <c r="N43" s="9" t="str">
        <f t="shared" si="27"/>
        <v/>
      </c>
      <c r="O43" s="9" t="str">
        <f t="shared" si="27"/>
        <v/>
      </c>
      <c r="P43" s="9">
        <f t="shared" si="27"/>
        <v>-200</v>
      </c>
      <c r="Q43" s="9" t="str">
        <f t="shared" si="27"/>
        <v/>
      </c>
      <c r="R43" s="9" t="str">
        <f t="shared" si="27"/>
        <v/>
      </c>
    </row>
    <row r="44" spans="1:180" s="4" customFormat="1" x14ac:dyDescent="0.45">
      <c r="A44" s="14" t="s">
        <v>50</v>
      </c>
      <c r="B44" s="39">
        <f>VLOOKUP($T$12,SC,5,FALSE)</f>
        <v>4</v>
      </c>
      <c r="C44"/>
      <c r="D44"/>
      <c r="E44"/>
      <c r="F44" s="6" t="s">
        <v>47</v>
      </c>
      <c r="G44" s="9" t="str">
        <f t="shared" ref="G44:R44" si="28">IF(G14=$B$65,$B$66,"")</f>
        <v/>
      </c>
      <c r="H44" s="9" t="str">
        <f t="shared" si="28"/>
        <v/>
      </c>
      <c r="I44" s="9" t="str">
        <f t="shared" si="28"/>
        <v/>
      </c>
      <c r="J44" s="9" t="str">
        <f t="shared" si="28"/>
        <v/>
      </c>
      <c r="K44" s="9" t="str">
        <f t="shared" si="28"/>
        <v/>
      </c>
      <c r="L44" s="9">
        <f t="shared" si="28"/>
        <v>270</v>
      </c>
      <c r="M44" s="9" t="str">
        <f t="shared" si="28"/>
        <v/>
      </c>
      <c r="N44" s="9" t="str">
        <f t="shared" si="28"/>
        <v/>
      </c>
      <c r="O44" s="9" t="str">
        <f t="shared" si="28"/>
        <v/>
      </c>
      <c r="P44" s="9" t="str">
        <f t="shared" si="28"/>
        <v/>
      </c>
      <c r="Q44" s="9" t="str">
        <f t="shared" si="28"/>
        <v/>
      </c>
      <c r="R44" s="9" t="str">
        <f t="shared" si="28"/>
        <v/>
      </c>
      <c r="S44"/>
      <c r="T44"/>
      <c r="U44"/>
      <c r="V44"/>
      <c r="W44"/>
      <c r="X44"/>
      <c r="Y44"/>
      <c r="Z44"/>
      <c r="AA44"/>
      <c r="AB44"/>
      <c r="AC44"/>
      <c r="AD44"/>
      <c r="AE44"/>
      <c r="AF44"/>
      <c r="AG44"/>
      <c r="AH44"/>
      <c r="AI44"/>
      <c r="AJ44"/>
      <c r="AK44"/>
      <c r="AL44"/>
      <c r="AM44"/>
      <c r="AN44"/>
      <c r="AO44"/>
      <c r="AP44"/>
      <c r="AQ44"/>
      <c r="AR44"/>
      <c r="AS44"/>
      <c r="AT44"/>
      <c r="AU44"/>
      <c r="AV44"/>
      <c r="AW44"/>
      <c r="AX44"/>
      <c r="AY44"/>
      <c r="AZ44"/>
      <c r="BA44"/>
      <c r="BB44"/>
      <c r="BC44"/>
      <c r="BD44"/>
      <c r="BE44"/>
      <c r="BF44"/>
      <c r="BG44"/>
      <c r="BH44"/>
      <c r="BI44"/>
      <c r="BJ44"/>
      <c r="BK44"/>
      <c r="BL44"/>
      <c r="BM44"/>
      <c r="BN44"/>
      <c r="BO44"/>
      <c r="BP44"/>
      <c r="BQ44"/>
      <c r="BR44"/>
      <c r="BS44"/>
      <c r="BT44"/>
      <c r="BU44"/>
      <c r="BV44"/>
      <c r="BW44"/>
      <c r="BX44"/>
      <c r="BY44"/>
      <c r="BZ44"/>
      <c r="CA44"/>
      <c r="CB44"/>
      <c r="CC44"/>
      <c r="CD44"/>
      <c r="CE44"/>
      <c r="CF44"/>
      <c r="CG44"/>
      <c r="CH44"/>
      <c r="CI44"/>
      <c r="CJ44"/>
      <c r="CK44"/>
      <c r="CL44"/>
      <c r="CM44"/>
      <c r="CN44"/>
      <c r="CO44"/>
      <c r="CP44"/>
      <c r="CQ44"/>
      <c r="CR44"/>
      <c r="CS44"/>
      <c r="CT44"/>
      <c r="CU44"/>
      <c r="CV44"/>
      <c r="CW44"/>
      <c r="CX44"/>
      <c r="CY44"/>
      <c r="CZ44"/>
      <c r="DA44"/>
      <c r="DB44"/>
      <c r="DC44"/>
      <c r="DD44"/>
      <c r="DE44"/>
      <c r="DF44"/>
      <c r="DG44"/>
      <c r="DH44"/>
      <c r="DI44"/>
      <c r="DJ44"/>
      <c r="DK44"/>
      <c r="DL44"/>
      <c r="DM44"/>
      <c r="DN44"/>
      <c r="DO44"/>
      <c r="DP44"/>
      <c r="DQ44"/>
      <c r="DR44"/>
      <c r="DS44"/>
      <c r="DT44"/>
      <c r="DU44"/>
      <c r="DV44"/>
      <c r="DW44"/>
      <c r="DX44"/>
      <c r="DY44"/>
      <c r="DZ44"/>
      <c r="EA44"/>
      <c r="EB44"/>
      <c r="EC44"/>
      <c r="ED44"/>
      <c r="EE44"/>
      <c r="EF44"/>
      <c r="EG44"/>
      <c r="EH44"/>
      <c r="EI44"/>
      <c r="EJ44"/>
      <c r="EK44"/>
      <c r="EL44"/>
      <c r="EM44"/>
      <c r="EN44"/>
      <c r="EO44"/>
      <c r="EP44"/>
      <c r="EQ44"/>
      <c r="ER44"/>
      <c r="ES44"/>
      <c r="ET44"/>
      <c r="EU44"/>
      <c r="EV44"/>
      <c r="EW44"/>
      <c r="EX44"/>
      <c r="EY44"/>
      <c r="EZ44"/>
      <c r="FA44"/>
      <c r="FB44"/>
      <c r="FC44"/>
      <c r="FD44"/>
      <c r="FE44"/>
      <c r="FF44"/>
      <c r="FG44"/>
      <c r="FH44"/>
      <c r="FI44"/>
      <c r="FJ44"/>
      <c r="FK44"/>
      <c r="FL44"/>
      <c r="FM44"/>
      <c r="FN44"/>
      <c r="FO44"/>
      <c r="FP44"/>
      <c r="FQ44"/>
      <c r="FR44"/>
      <c r="FS44"/>
      <c r="FT44"/>
      <c r="FU44"/>
      <c r="FV44"/>
      <c r="FW44"/>
      <c r="FX44"/>
    </row>
    <row r="45" spans="1:180" ht="14.65" thickBot="1" x14ac:dyDescent="0.5">
      <c r="A45" s="15" t="s">
        <v>18</v>
      </c>
      <c r="B45" s="40">
        <v>-4000</v>
      </c>
      <c r="F45" s="36" t="s">
        <v>29</v>
      </c>
      <c r="G45" s="19">
        <f t="shared" ref="G45:R45" si="29">SUM(G16:G21,G23:G27,G29:G35,G37,G39:G44)</f>
        <v>-1251</v>
      </c>
      <c r="H45" s="19">
        <f t="shared" si="29"/>
        <v>-1251</v>
      </c>
      <c r="I45" s="19">
        <f t="shared" si="29"/>
        <v>-1951</v>
      </c>
      <c r="J45" s="19">
        <f t="shared" si="29"/>
        <v>-851</v>
      </c>
      <c r="K45" s="19">
        <f t="shared" si="29"/>
        <v>748</v>
      </c>
      <c r="L45" s="19">
        <f t="shared" si="29"/>
        <v>918</v>
      </c>
      <c r="M45" s="19">
        <f t="shared" si="29"/>
        <v>748</v>
      </c>
      <c r="N45" s="19">
        <f t="shared" si="29"/>
        <v>748</v>
      </c>
      <c r="O45" s="19">
        <f t="shared" si="29"/>
        <v>648</v>
      </c>
      <c r="P45" s="19">
        <f t="shared" si="29"/>
        <v>108</v>
      </c>
      <c r="Q45" s="19">
        <f t="shared" si="29"/>
        <v>748</v>
      </c>
      <c r="R45" s="19">
        <f t="shared" si="29"/>
        <v>648</v>
      </c>
    </row>
    <row r="46" spans="1:180" ht="14.65" thickBot="1" x14ac:dyDescent="0.5"/>
    <row r="47" spans="1:180" x14ac:dyDescent="0.45">
      <c r="A47" s="13" t="s">
        <v>39</v>
      </c>
      <c r="B47" s="16" t="s">
        <v>0</v>
      </c>
    </row>
    <row r="48" spans="1:180" ht="14.65" thickBot="1" x14ac:dyDescent="0.5">
      <c r="A48" s="14" t="s">
        <v>19</v>
      </c>
      <c r="B48" s="39">
        <v>-10</v>
      </c>
      <c r="F48" s="25" t="s">
        <v>25</v>
      </c>
    </row>
    <row r="49" spans="1:19" ht="14.65" thickBot="1" x14ac:dyDescent="0.5">
      <c r="F49" s="26" t="s">
        <v>26</v>
      </c>
      <c r="G49" s="55">
        <f>B68</f>
        <v>2300</v>
      </c>
      <c r="H49" s="27"/>
      <c r="I49" s="27"/>
      <c r="J49" s="27"/>
      <c r="K49" s="27"/>
      <c r="L49" s="27"/>
      <c r="M49" s="27"/>
      <c r="N49" s="27"/>
      <c r="O49" s="27"/>
      <c r="P49" s="27"/>
      <c r="Q49" s="27"/>
      <c r="R49" s="27"/>
      <c r="S49" s="28"/>
    </row>
    <row r="50" spans="1:19" x14ac:dyDescent="0.45">
      <c r="A50" s="13" t="s">
        <v>40</v>
      </c>
      <c r="B50" s="43" t="s">
        <v>0</v>
      </c>
      <c r="F50" s="29" t="s">
        <v>49</v>
      </c>
      <c r="G50">
        <f>$G$49+SUM($G$45:G45)</f>
        <v>1049</v>
      </c>
      <c r="H50">
        <f>$G$49+SUM($G$45:H45)</f>
        <v>-202</v>
      </c>
      <c r="I50">
        <f>$G$49+SUM($G$45:I45)</f>
        <v>-2153</v>
      </c>
      <c r="J50">
        <f>$G$49+SUM($G$45:J45)</f>
        <v>-3004</v>
      </c>
      <c r="K50">
        <f>$G$49+SUM($G$45:K45)</f>
        <v>-2256</v>
      </c>
      <c r="L50">
        <f>$G$49+SUM($G$45:L45)</f>
        <v>-1338</v>
      </c>
      <c r="M50">
        <f>$G$49+SUM($G$45:M45)</f>
        <v>-590</v>
      </c>
      <c r="N50">
        <f>$G$49+SUM($G$45:N45)</f>
        <v>158</v>
      </c>
      <c r="O50">
        <f>$G$49+SUM($G$45:O45)</f>
        <v>806</v>
      </c>
      <c r="P50">
        <f>$G$49+SUM($G$45:P45)</f>
        <v>914</v>
      </c>
      <c r="Q50">
        <f>$G$49+SUM($G$45:Q45)</f>
        <v>1662</v>
      </c>
      <c r="R50">
        <f>$G$49+SUM($G$44:R44)</f>
        <v>2570</v>
      </c>
      <c r="S50" s="30"/>
    </row>
    <row r="51" spans="1:19" ht="14.65" thickBot="1" x14ac:dyDescent="0.5">
      <c r="A51" s="20" t="s">
        <v>20</v>
      </c>
      <c r="B51" s="40">
        <v>-55</v>
      </c>
      <c r="F51" s="29" t="s">
        <v>27</v>
      </c>
      <c r="G51">
        <f>IF((G45+G49)&lt;0,-SUM(G45,G49),0)</f>
        <v>0</v>
      </c>
      <c r="H51">
        <f t="shared" ref="H51:P51" si="30">IF((H45+G50)&lt;0,-SUM(H45,G50),0)</f>
        <v>202</v>
      </c>
      <c r="I51">
        <f t="shared" si="30"/>
        <v>2153</v>
      </c>
      <c r="J51">
        <f t="shared" si="30"/>
        <v>3004</v>
      </c>
      <c r="K51">
        <f t="shared" si="30"/>
        <v>2256</v>
      </c>
      <c r="L51">
        <f t="shared" si="30"/>
        <v>1338</v>
      </c>
      <c r="M51">
        <f t="shared" si="30"/>
        <v>590</v>
      </c>
      <c r="N51">
        <f t="shared" si="30"/>
        <v>0</v>
      </c>
      <c r="O51">
        <f t="shared" si="30"/>
        <v>0</v>
      </c>
      <c r="P51">
        <f t="shared" si="30"/>
        <v>0</v>
      </c>
      <c r="Q51">
        <f t="shared" ref="Q51:R51" si="31">IF((Q45+P50)&lt;0,-SUM(Q45,P50),0)</f>
        <v>0</v>
      </c>
      <c r="R51">
        <f t="shared" si="31"/>
        <v>0</v>
      </c>
      <c r="S51" s="30">
        <f>SUM(G51:R51)</f>
        <v>9543</v>
      </c>
    </row>
    <row r="52" spans="1:19" ht="14.65" thickBot="1" x14ac:dyDescent="0.5">
      <c r="F52" s="31" t="s">
        <v>28</v>
      </c>
      <c r="G52" s="32">
        <f>G50+SUM($G$51:G51)</f>
        <v>1049</v>
      </c>
      <c r="H52" s="32">
        <f>H50+SUM($G$51:H51)</f>
        <v>0</v>
      </c>
      <c r="I52" s="32">
        <f>I50+SUM($G$51:I51)</f>
        <v>202</v>
      </c>
      <c r="J52" s="32">
        <f>J50+SUM($G$51:J51)</f>
        <v>2355</v>
      </c>
      <c r="K52" s="32">
        <f>K50+SUM($G$51:K51)</f>
        <v>5359</v>
      </c>
      <c r="L52" s="32">
        <f>L50+SUM($G$51:L51)</f>
        <v>7615</v>
      </c>
      <c r="M52" s="32">
        <f>M50+SUM($G$51:M51)</f>
        <v>8953</v>
      </c>
      <c r="N52" s="32">
        <f>N50+SUM($G$51:N51)</f>
        <v>9701</v>
      </c>
      <c r="O52" s="32">
        <f>O50+SUM($G$51:O51)</f>
        <v>10349</v>
      </c>
      <c r="P52" s="32">
        <f>P50+SUM($G$51:P51)</f>
        <v>10457</v>
      </c>
      <c r="Q52" s="32">
        <f>Q50+SUM($G$51:Q51)</f>
        <v>11205</v>
      </c>
      <c r="R52" s="32">
        <f>R50+SUM($G$51:R51)</f>
        <v>12113</v>
      </c>
      <c r="S52" s="33"/>
    </row>
    <row r="53" spans="1:19" x14ac:dyDescent="0.45">
      <c r="A53" s="21" t="s">
        <v>38</v>
      </c>
      <c r="B53" s="43" t="s">
        <v>2</v>
      </c>
    </row>
    <row r="54" spans="1:19" ht="14.65" thickBot="1" x14ac:dyDescent="0.5">
      <c r="A54" s="20" t="s">
        <v>21</v>
      </c>
      <c r="B54" s="40">
        <v>-300</v>
      </c>
    </row>
    <row r="55" spans="1:19" ht="14.65" thickBot="1" x14ac:dyDescent="0.5"/>
    <row r="56" spans="1:19" x14ac:dyDescent="0.45">
      <c r="A56" s="21" t="s">
        <v>42</v>
      </c>
      <c r="B56" s="43" t="s">
        <v>9</v>
      </c>
    </row>
    <row r="57" spans="1:19" ht="14.65" thickBot="1" x14ac:dyDescent="0.5">
      <c r="A57" s="20" t="s">
        <v>22</v>
      </c>
      <c r="B57" s="40">
        <v>-440</v>
      </c>
    </row>
    <row r="58" spans="1:19" ht="14.65" thickBot="1" x14ac:dyDescent="0.5"/>
    <row r="59" spans="1:19" ht="14.65" thickBot="1" x14ac:dyDescent="0.5">
      <c r="A59" s="23" t="s">
        <v>23</v>
      </c>
      <c r="B59" s="44">
        <v>-100</v>
      </c>
    </row>
    <row r="61" spans="1:19" ht="14.65" thickBot="1" x14ac:dyDescent="0.5"/>
    <row r="62" spans="1:19" x14ac:dyDescent="0.45">
      <c r="A62" s="21" t="s">
        <v>43</v>
      </c>
      <c r="B62" s="43" t="s">
        <v>9</v>
      </c>
    </row>
    <row r="63" spans="1:19" ht="14.65" thickBot="1" x14ac:dyDescent="0.5">
      <c r="A63" s="20" t="s">
        <v>24</v>
      </c>
      <c r="B63" s="40">
        <v>-200</v>
      </c>
    </row>
    <row r="64" spans="1:19" ht="14.65" thickBot="1" x14ac:dyDescent="0.5"/>
    <row r="65" spans="1:2" x14ac:dyDescent="0.45">
      <c r="A65" s="24" t="s">
        <v>44</v>
      </c>
      <c r="B65" s="16" t="s">
        <v>5</v>
      </c>
    </row>
    <row r="66" spans="1:2" ht="14.65" thickBot="1" x14ac:dyDescent="0.5">
      <c r="A66" s="15" t="s">
        <v>45</v>
      </c>
      <c r="B66" s="40">
        <v>270</v>
      </c>
    </row>
    <row r="67" spans="1:2" ht="14.65" thickBot="1" x14ac:dyDescent="0.5"/>
    <row r="68" spans="1:2" ht="14.65" thickBot="1" x14ac:dyDescent="0.5">
      <c r="A68" s="56" t="s">
        <v>26</v>
      </c>
      <c r="B68" s="44">
        <v>2300</v>
      </c>
    </row>
  </sheetData>
  <scenarios current="0" show="0" sqref="S51">
    <scenario name="PESSIMISTIC" locked="1" count="6" user="Rafay Zeeshan" comment="Created by Rafay Zeeshan on 3/2/2023">
      <inputCells r="B15" val="February"/>
      <inputCells r="B16" val="300"/>
      <inputCells r="B27" val="April"/>
      <inputCells r="B28" val="440"/>
      <inputCells r="B36" val="June"/>
      <inputCells r="B37" val="600"/>
    </scenario>
    <scenario name="REALISTIC" locked="1" count="15" user="Rafay Zeeshan" comment="Created by Rafay Zeeshan on 3/2/2023">
      <inputCells r="B15" val="January"/>
      <inputCells r="B16" val="345"/>
      <inputCells r="B23" val="March"/>
      <inputCells r="B24" val="-800"/>
      <inputCells r="B27" val="March"/>
      <inputCells r="B28" val="440"/>
      <inputCells r="B36" val="May"/>
      <inputCells r="B37" val="650"/>
      <inputCells r="B43" val="January"/>
      <inputCells r="B44" val="4"/>
      <inputCells r="B45" val="-4000"/>
      <inputCells r="B56" val="December"/>
      <inputCells r="B57" val="-500"/>
      <inputCells r="B65" val="January"/>
      <inputCells r="B66" val="270"/>
    </scenario>
    <scenario name="OPTIMISTIC" locked="1" count="15" user="Rafay Zeeshan" comment="Created by Rafay Zeeshan on 3/2/2023">
      <inputCells r="B15" val="January"/>
      <inputCells r="B16" val="360"/>
      <inputCells r="B23" val="April"/>
      <inputCells r="B24" val="-700"/>
      <inputCells r="B27" val="February"/>
      <inputCells r="B28" val="480"/>
      <inputCells r="B36" val="April"/>
      <inputCells r="B37" val="650"/>
      <inputCells r="B43" val="January"/>
      <inputCells r="B44" val="4"/>
      <inputCells r="B45" val="-4000"/>
      <inputCells r="B56" val="December"/>
      <inputCells r="B57" val="-420"/>
      <inputCells r="B65" val="March"/>
      <inputCells r="B66" val="270"/>
    </scenario>
  </scenarios>
  <conditionalFormatting sqref="S22 G55:S55 G37:R37 G39:R44 G23:S25 G26:R27 S26:S45 G16:S21 G29:R33 G48:S52 G35:R35">
    <cfRule type="cellIs" dxfId="11" priority="3" operator="lessThan">
      <formula>0</formula>
    </cfRule>
    <cfRule type="cellIs" dxfId="10" priority="4" operator="greaterThan">
      <formula>0</formula>
    </cfRule>
  </conditionalFormatting>
  <conditionalFormatting sqref="G45:R45">
    <cfRule type="cellIs" dxfId="9" priority="1" operator="lessThan">
      <formula>0</formula>
    </cfRule>
    <cfRule type="cellIs" dxfId="8" priority="2" operator="greaterThan">
      <formula>0</formula>
    </cfRule>
  </conditionalFormatting>
  <dataValidations disablePrompts="1" count="1">
    <dataValidation type="list" allowBlank="1" showInputMessage="1" showErrorMessage="1" sqref="B23 B15 B27 B36 B47 B50 B53 B56 B62 B65 B43" xr:uid="{8379BDE1-36DA-4AE3-A979-3B74D738B8A0}">
      <formula1>$B$2:$B$13</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121" r:id="rId4" name="Option Button 1">
              <controlPr defaultSize="0" autoFill="0" autoLine="0" autoPict="0">
                <anchor moveWithCells="1">
                  <from>
                    <xdr:col>19</xdr:col>
                    <xdr:colOff>304800</xdr:colOff>
                    <xdr:row>12</xdr:row>
                    <xdr:rowOff>0</xdr:rowOff>
                  </from>
                  <to>
                    <xdr:col>19</xdr:col>
                    <xdr:colOff>642938</xdr:colOff>
                    <xdr:row>13</xdr:row>
                    <xdr:rowOff>0</xdr:rowOff>
                  </to>
                </anchor>
              </controlPr>
            </control>
          </mc:Choice>
        </mc:AlternateContent>
        <mc:AlternateContent xmlns:mc="http://schemas.openxmlformats.org/markup-compatibility/2006">
          <mc:Choice Requires="x14">
            <control shapeId="5122" r:id="rId5" name="Option Button 2">
              <controlPr defaultSize="0" autoFill="0" autoLine="0" autoPict="0">
                <anchor moveWithCells="1">
                  <from>
                    <xdr:col>19</xdr:col>
                    <xdr:colOff>304800</xdr:colOff>
                    <xdr:row>12</xdr:row>
                    <xdr:rowOff>152400</xdr:rowOff>
                  </from>
                  <to>
                    <xdr:col>19</xdr:col>
                    <xdr:colOff>642938</xdr:colOff>
                    <xdr:row>13</xdr:row>
                    <xdr:rowOff>190500</xdr:rowOff>
                  </to>
                </anchor>
              </controlPr>
            </control>
          </mc:Choice>
        </mc:AlternateContent>
        <mc:AlternateContent xmlns:mc="http://schemas.openxmlformats.org/markup-compatibility/2006">
          <mc:Choice Requires="x14">
            <control shapeId="5123" r:id="rId6" name="Option Button 3">
              <controlPr defaultSize="0" autoFill="0" autoLine="0" autoPict="0">
                <anchor moveWithCells="1">
                  <from>
                    <xdr:col>19</xdr:col>
                    <xdr:colOff>304800</xdr:colOff>
                    <xdr:row>13</xdr:row>
                    <xdr:rowOff>161925</xdr:rowOff>
                  </from>
                  <to>
                    <xdr:col>19</xdr:col>
                    <xdr:colOff>642938</xdr:colOff>
                    <xdr:row>15</xdr:row>
                    <xdr:rowOff>0</xdr:rowOff>
                  </to>
                </anchor>
              </controlPr>
            </control>
          </mc:Choice>
        </mc:AlternateContent>
        <mc:AlternateContent xmlns:mc="http://schemas.openxmlformats.org/markup-compatibility/2006">
          <mc:Choice Requires="x14">
            <control shapeId="5124" r:id="rId7" name="Option Button 4">
              <controlPr defaultSize="0" autoFill="0" autoLine="0" autoPict="0">
                <anchor moveWithCells="1">
                  <from>
                    <xdr:col>19</xdr:col>
                    <xdr:colOff>304800</xdr:colOff>
                    <xdr:row>14</xdr:row>
                    <xdr:rowOff>147638</xdr:rowOff>
                  </from>
                  <to>
                    <xdr:col>19</xdr:col>
                    <xdr:colOff>642938</xdr:colOff>
                    <xdr:row>16</xdr:row>
                    <xdr:rowOff>9525</xdr:rowOff>
                  </to>
                </anchor>
              </controlPr>
            </control>
          </mc:Choice>
        </mc:AlternateContent>
        <mc:AlternateContent xmlns:mc="http://schemas.openxmlformats.org/markup-compatibility/2006">
          <mc:Choice Requires="x14">
            <control shapeId="5125" r:id="rId8" name="Option Button 5">
              <controlPr defaultSize="0" autoFill="0" autoLine="0" autoPict="0">
                <anchor moveWithCells="1">
                  <from>
                    <xdr:col>19</xdr:col>
                    <xdr:colOff>304800</xdr:colOff>
                    <xdr:row>15</xdr:row>
                    <xdr:rowOff>157163</xdr:rowOff>
                  </from>
                  <to>
                    <xdr:col>19</xdr:col>
                    <xdr:colOff>642938</xdr:colOff>
                    <xdr:row>17</xdr:row>
                    <xdr:rowOff>19050</xdr:rowOff>
                  </to>
                </anchor>
              </controlPr>
            </control>
          </mc:Choice>
        </mc:AlternateContent>
        <mc:AlternateContent xmlns:mc="http://schemas.openxmlformats.org/markup-compatibility/2006">
          <mc:Choice Requires="x14">
            <control shapeId="5126" r:id="rId9" name="Option Button 6">
              <controlPr defaultSize="0" autoFill="0" autoLine="0" autoPict="0">
                <anchor moveWithCells="1">
                  <from>
                    <xdr:col>19</xdr:col>
                    <xdr:colOff>304800</xdr:colOff>
                    <xdr:row>16</xdr:row>
                    <xdr:rowOff>166688</xdr:rowOff>
                  </from>
                  <to>
                    <xdr:col>19</xdr:col>
                    <xdr:colOff>642938</xdr:colOff>
                    <xdr:row>18</xdr:row>
                    <xdr:rowOff>23813</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2DF4BAA-92BA-400D-9D83-81D334D535A8}">
  <sheetPr codeName="Sheet6"/>
  <dimension ref="A1:G28"/>
  <sheetViews>
    <sheetView showGridLines="0" workbookViewId="0">
      <selection activeCell="F37" sqref="F37"/>
    </sheetView>
  </sheetViews>
  <sheetFormatPr defaultRowHeight="14.25" outlineLevelRow="1" x14ac:dyDescent="0.45"/>
  <cols>
    <col min="1" max="1" width="2.1328125" customWidth="1"/>
    <col min="2" max="2" width="6" bestFit="1" customWidth="1"/>
    <col min="3" max="3" width="14.46484375" bestFit="1" customWidth="1"/>
    <col min="4" max="4" width="12.1328125" bestFit="1" customWidth="1"/>
    <col min="5" max="5" width="9.59765625" bestFit="1" customWidth="1"/>
    <col min="6" max="6" width="6.6640625" bestFit="1" customWidth="1"/>
    <col min="7" max="7" width="4.796875" bestFit="1" customWidth="1"/>
  </cols>
  <sheetData>
    <row r="1" spans="1:5" x14ac:dyDescent="0.45">
      <c r="A1" s="2" t="s">
        <v>96</v>
      </c>
    </row>
    <row r="2" spans="1:5" x14ac:dyDescent="0.45">
      <c r="A2" s="2" t="s">
        <v>97</v>
      </c>
    </row>
    <row r="3" spans="1:5" x14ac:dyDescent="0.45">
      <c r="A3" s="2" t="s">
        <v>127</v>
      </c>
    </row>
    <row r="4" spans="1:5" x14ac:dyDescent="0.45">
      <c r="A4" s="2" t="s">
        <v>98</v>
      </c>
    </row>
    <row r="5" spans="1:5" x14ac:dyDescent="0.45">
      <c r="A5" s="2" t="s">
        <v>99</v>
      </c>
    </row>
    <row r="6" spans="1:5" hidden="1" outlineLevel="1" x14ac:dyDescent="0.45">
      <c r="A6" s="2"/>
      <c r="B6" t="s">
        <v>125</v>
      </c>
    </row>
    <row r="7" spans="1:5" hidden="1" outlineLevel="1" x14ac:dyDescent="0.45">
      <c r="A7" s="2"/>
      <c r="B7" t="s">
        <v>128</v>
      </c>
    </row>
    <row r="8" spans="1:5" hidden="1" outlineLevel="1" x14ac:dyDescent="0.45">
      <c r="A8" s="2"/>
      <c r="B8" t="s">
        <v>100</v>
      </c>
    </row>
    <row r="9" spans="1:5" collapsed="1" x14ac:dyDescent="0.45">
      <c r="A9" s="2" t="s">
        <v>101</v>
      </c>
    </row>
    <row r="10" spans="1:5" hidden="1" outlineLevel="1" x14ac:dyDescent="0.45">
      <c r="B10" t="s">
        <v>102</v>
      </c>
    </row>
    <row r="11" spans="1:5" hidden="1" outlineLevel="1" x14ac:dyDescent="0.45">
      <c r="B11" t="s">
        <v>103</v>
      </c>
    </row>
    <row r="12" spans="1:5" hidden="1" outlineLevel="1" x14ac:dyDescent="0.45">
      <c r="B12" t="s">
        <v>104</v>
      </c>
    </row>
    <row r="13" spans="1:5" collapsed="1" x14ac:dyDescent="0.45"/>
    <row r="14" spans="1:5" ht="14.65" thickBot="1" x14ac:dyDescent="0.5">
      <c r="A14" t="s">
        <v>126</v>
      </c>
    </row>
    <row r="15" spans="1:5" ht="14.65" thickBot="1" x14ac:dyDescent="0.5">
      <c r="B15" s="70" t="s">
        <v>105</v>
      </c>
      <c r="C15" s="70" t="s">
        <v>106</v>
      </c>
      <c r="D15" s="70" t="s">
        <v>107</v>
      </c>
      <c r="E15" s="70" t="s">
        <v>108</v>
      </c>
    </row>
    <row r="16" spans="1:5" ht="14.65" thickBot="1" x14ac:dyDescent="0.5">
      <c r="B16" s="69" t="s">
        <v>116</v>
      </c>
      <c r="C16" s="69" t="s">
        <v>67</v>
      </c>
      <c r="D16" s="69">
        <v>9543</v>
      </c>
      <c r="E16" s="69">
        <v>0</v>
      </c>
    </row>
    <row r="19" spans="1:7" ht="14.65" thickBot="1" x14ac:dyDescent="0.5">
      <c r="A19" t="s">
        <v>109</v>
      </c>
    </row>
    <row r="20" spans="1:7" ht="14.65" thickBot="1" x14ac:dyDescent="0.5">
      <c r="B20" s="70" t="s">
        <v>105</v>
      </c>
      <c r="C20" s="70" t="s">
        <v>106</v>
      </c>
      <c r="D20" s="70" t="s">
        <v>107</v>
      </c>
      <c r="E20" s="70" t="s">
        <v>108</v>
      </c>
      <c r="F20" s="70" t="s">
        <v>110</v>
      </c>
    </row>
    <row r="21" spans="1:7" x14ac:dyDescent="0.45">
      <c r="B21" s="71" t="s">
        <v>117</v>
      </c>
      <c r="C21" s="71" t="s">
        <v>118</v>
      </c>
      <c r="D21" s="72">
        <v>0</v>
      </c>
      <c r="E21" s="72">
        <v>1.6</v>
      </c>
      <c r="F21" s="71" t="s">
        <v>119</v>
      </c>
    </row>
    <row r="22" spans="1:7" x14ac:dyDescent="0.45">
      <c r="B22" s="71" t="s">
        <v>120</v>
      </c>
      <c r="C22" s="71" t="s">
        <v>121</v>
      </c>
      <c r="D22" s="72">
        <v>0</v>
      </c>
      <c r="E22" s="72">
        <v>1.1336553866584778</v>
      </c>
      <c r="F22" s="71" t="s">
        <v>119</v>
      </c>
    </row>
    <row r="23" spans="1:7" ht="14.65" thickBot="1" x14ac:dyDescent="0.5">
      <c r="B23" s="69" t="s">
        <v>122</v>
      </c>
      <c r="C23" s="69" t="s">
        <v>121</v>
      </c>
      <c r="D23" s="73">
        <v>0</v>
      </c>
      <c r="E23" s="73">
        <v>0.61835747919091022</v>
      </c>
      <c r="F23" s="69" t="s">
        <v>119</v>
      </c>
    </row>
    <row r="26" spans="1:7" ht="14.65" thickBot="1" x14ac:dyDescent="0.5">
      <c r="A26" t="s">
        <v>111</v>
      </c>
    </row>
    <row r="27" spans="1:7" ht="14.65" thickBot="1" x14ac:dyDescent="0.5">
      <c r="B27" s="70" t="s">
        <v>105</v>
      </c>
      <c r="C27" s="70" t="s">
        <v>106</v>
      </c>
      <c r="D27" s="70" t="s">
        <v>112</v>
      </c>
      <c r="E27" s="70" t="s">
        <v>113</v>
      </c>
      <c r="F27" s="70" t="s">
        <v>114</v>
      </c>
      <c r="G27" s="70" t="s">
        <v>115</v>
      </c>
    </row>
    <row r="28" spans="1:7" ht="14.65" thickBot="1" x14ac:dyDescent="0.5">
      <c r="B28" s="69" t="s">
        <v>116</v>
      </c>
      <c r="C28" s="69" t="s">
        <v>67</v>
      </c>
      <c r="D28" s="69">
        <v>0</v>
      </c>
      <c r="E28" s="69" t="s">
        <v>123</v>
      </c>
      <c r="F28" s="69" t="s">
        <v>124</v>
      </c>
      <c r="G28" s="69">
        <v>0</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E47AAD8-6656-4202-9E46-18F1755FC56F}">
  <sheetPr codeName="Sheet3"/>
  <dimension ref="A1:FZ89"/>
  <sheetViews>
    <sheetView topLeftCell="A59" zoomScale="49" zoomScaleNormal="70" workbookViewId="0">
      <selection activeCell="K61" sqref="K61"/>
    </sheetView>
  </sheetViews>
  <sheetFormatPr defaultRowHeight="14.25" x14ac:dyDescent="0.45"/>
  <cols>
    <col min="1" max="1" width="35.265625" customWidth="1"/>
    <col min="2" max="2" width="13.6640625" style="37" bestFit="1" customWidth="1"/>
    <col min="3" max="3" width="13.46484375" customWidth="1"/>
    <col min="4" max="5" width="12.265625" customWidth="1"/>
    <col min="6" max="6" width="17.9296875" customWidth="1"/>
    <col min="7" max="7" width="14.86328125" customWidth="1"/>
    <col min="8" max="8" width="23.46484375" style="5" customWidth="1"/>
    <col min="9" max="9" width="11.9296875" bestFit="1" customWidth="1"/>
    <col min="10" max="10" width="13.1328125" customWidth="1"/>
    <col min="11" max="11" width="9.3984375" customWidth="1"/>
    <col min="12" max="12" width="14.53125" customWidth="1"/>
    <col min="13" max="13" width="10.3984375" customWidth="1"/>
    <col min="14" max="14" width="10.1328125" customWidth="1"/>
    <col min="15" max="16" width="10.265625" customWidth="1"/>
    <col min="17" max="17" width="11.86328125" customWidth="1"/>
    <col min="18" max="19" width="10.59765625" customWidth="1"/>
    <col min="20" max="20" width="10.265625" customWidth="1"/>
    <col min="24" max="24" width="24.46484375" customWidth="1"/>
    <col min="25" max="25" width="21.59765625" bestFit="1" customWidth="1"/>
    <col min="26" max="26" width="22.265625" bestFit="1" customWidth="1"/>
    <col min="27" max="27" width="34" bestFit="1" customWidth="1"/>
  </cols>
  <sheetData>
    <row r="1" spans="1:182" ht="14.65" thickBot="1" x14ac:dyDescent="0.5">
      <c r="A1" s="10" t="s">
        <v>31</v>
      </c>
      <c r="B1" s="10" t="s">
        <v>36</v>
      </c>
    </row>
    <row r="2" spans="1:182" ht="18" x14ac:dyDescent="0.55000000000000004">
      <c r="A2" s="17">
        <v>1</v>
      </c>
      <c r="B2" s="10" t="s">
        <v>0</v>
      </c>
      <c r="D2" s="65" t="s">
        <v>90</v>
      </c>
      <c r="E2" s="27"/>
      <c r="F2" s="28"/>
    </row>
    <row r="3" spans="1:182" ht="23.65" thickBot="1" x14ac:dyDescent="0.75">
      <c r="A3" s="17">
        <v>2</v>
      </c>
      <c r="B3" s="10" t="s">
        <v>1</v>
      </c>
      <c r="D3" s="66"/>
      <c r="E3" s="64" t="s">
        <v>91</v>
      </c>
      <c r="F3" s="63" t="s">
        <v>92</v>
      </c>
    </row>
    <row r="4" spans="1:182" x14ac:dyDescent="0.45">
      <c r="A4" s="17">
        <v>3</v>
      </c>
      <c r="B4" s="10" t="s">
        <v>2</v>
      </c>
    </row>
    <row r="5" spans="1:182" x14ac:dyDescent="0.45">
      <c r="A5" s="17">
        <v>4</v>
      </c>
      <c r="B5" s="10" t="s">
        <v>3</v>
      </c>
    </row>
    <row r="6" spans="1:182" x14ac:dyDescent="0.45">
      <c r="A6" s="17">
        <v>5</v>
      </c>
      <c r="B6" s="10" t="s">
        <v>4</v>
      </c>
    </row>
    <row r="7" spans="1:182" x14ac:dyDescent="0.45">
      <c r="A7" s="17">
        <v>6</v>
      </c>
      <c r="B7" s="10" t="s">
        <v>5</v>
      </c>
    </row>
    <row r="8" spans="1:182" x14ac:dyDescent="0.45">
      <c r="A8" s="17">
        <v>7</v>
      </c>
      <c r="B8" s="10" t="s">
        <v>6</v>
      </c>
    </row>
    <row r="9" spans="1:182" x14ac:dyDescent="0.45">
      <c r="A9" s="17">
        <v>8</v>
      </c>
      <c r="B9" s="10" t="s">
        <v>7</v>
      </c>
    </row>
    <row r="10" spans="1:182" x14ac:dyDescent="0.45">
      <c r="A10" s="17">
        <v>9</v>
      </c>
      <c r="B10" s="10" t="s">
        <v>8</v>
      </c>
    </row>
    <row r="11" spans="1:182" x14ac:dyDescent="0.45">
      <c r="A11" s="17">
        <v>10</v>
      </c>
      <c r="B11" s="10" t="s">
        <v>9</v>
      </c>
    </row>
    <row r="12" spans="1:182" x14ac:dyDescent="0.45">
      <c r="A12" s="17">
        <v>11</v>
      </c>
      <c r="B12" s="10" t="s">
        <v>10</v>
      </c>
      <c r="H12"/>
      <c r="V12" s="22"/>
      <c r="W12" s="22"/>
    </row>
    <row r="13" spans="1:182" s="2" customFormat="1" x14ac:dyDescent="0.45">
      <c r="A13" s="17">
        <v>12</v>
      </c>
      <c r="B13" s="10" t="s">
        <v>11</v>
      </c>
      <c r="C13"/>
      <c r="D13"/>
      <c r="E13"/>
      <c r="F13"/>
      <c r="G13"/>
      <c r="H13" s="9" t="s">
        <v>37</v>
      </c>
      <c r="I13" s="17">
        <v>1</v>
      </c>
      <c r="J13" s="17">
        <v>2</v>
      </c>
      <c r="K13" s="17">
        <v>3</v>
      </c>
      <c r="L13" s="17">
        <v>4</v>
      </c>
      <c r="M13" s="17">
        <v>5</v>
      </c>
      <c r="N13" s="17">
        <v>6</v>
      </c>
      <c r="O13" s="17">
        <v>7</v>
      </c>
      <c r="P13" s="17">
        <v>8</v>
      </c>
      <c r="Q13" s="17">
        <v>9</v>
      </c>
      <c r="R13" s="17">
        <v>10</v>
      </c>
      <c r="S13" s="17">
        <v>11</v>
      </c>
      <c r="T13" s="17">
        <v>12</v>
      </c>
      <c r="U13"/>
      <c r="V13"/>
      <c r="W13" s="22"/>
      <c r="Y13" s="22"/>
      <c r="Z13" s="22"/>
      <c r="AA13" s="22"/>
      <c r="AB13"/>
      <c r="AC13"/>
      <c r="AD13"/>
      <c r="AE13"/>
      <c r="AF13"/>
      <c r="AG13"/>
      <c r="AH13"/>
      <c r="AI13"/>
      <c r="AJ13"/>
      <c r="AK13"/>
      <c r="AL13"/>
      <c r="AM13"/>
      <c r="AN13"/>
      <c r="AO13"/>
      <c r="AP13"/>
      <c r="AQ13"/>
      <c r="AR13"/>
      <c r="AS13"/>
      <c r="AT13"/>
      <c r="AU13"/>
      <c r="AV13"/>
      <c r="AW13"/>
      <c r="AX13"/>
      <c r="AY13"/>
      <c r="AZ13"/>
      <c r="BA13"/>
      <c r="BB13"/>
      <c r="BC13"/>
      <c r="BD13"/>
      <c r="BE13"/>
      <c r="BF13"/>
      <c r="BG13"/>
      <c r="BH13"/>
      <c r="BI13"/>
      <c r="BJ13"/>
      <c r="BK13"/>
      <c r="BL13"/>
      <c r="BM13"/>
      <c r="BN13"/>
      <c r="BO13"/>
      <c r="BP13"/>
      <c r="BQ13"/>
      <c r="BR13"/>
      <c r="BS13"/>
      <c r="BT13"/>
      <c r="BU13"/>
      <c r="BV13"/>
      <c r="BW13"/>
      <c r="BX13"/>
      <c r="BY13"/>
      <c r="BZ13"/>
      <c r="CA13"/>
      <c r="CB13"/>
      <c r="CC13"/>
      <c r="CD13"/>
      <c r="CE13"/>
      <c r="CF13"/>
      <c r="CG13"/>
      <c r="CH13"/>
      <c r="CI13"/>
      <c r="CJ13"/>
      <c r="CK13"/>
      <c r="CL13"/>
      <c r="CM13"/>
      <c r="CN13"/>
      <c r="CO13"/>
      <c r="CP13"/>
      <c r="CQ13"/>
      <c r="CR13"/>
      <c r="CS13"/>
      <c r="CT13"/>
      <c r="CU13"/>
      <c r="CV13"/>
      <c r="CW13"/>
      <c r="CX13"/>
      <c r="CY13"/>
      <c r="CZ13"/>
      <c r="DA13"/>
      <c r="DB13"/>
      <c r="DC13"/>
      <c r="DD13"/>
      <c r="DE13"/>
      <c r="DF13"/>
      <c r="DG13"/>
      <c r="DH13"/>
      <c r="DI13"/>
      <c r="DJ13"/>
      <c r="DK13"/>
      <c r="DL13"/>
      <c r="DM13"/>
      <c r="DN13"/>
      <c r="DO13"/>
      <c r="DP13"/>
      <c r="DQ13"/>
      <c r="DR13"/>
      <c r="DS13"/>
      <c r="DT13"/>
      <c r="DU13"/>
      <c r="DV13"/>
      <c r="DW13"/>
      <c r="DX13"/>
      <c r="DY13"/>
      <c r="DZ13"/>
      <c r="EA13"/>
      <c r="EB13"/>
      <c r="EC13"/>
      <c r="ED13"/>
      <c r="EE13"/>
      <c r="EF13"/>
      <c r="EG13"/>
      <c r="EH13"/>
      <c r="EI13"/>
      <c r="EJ13"/>
      <c r="EK13"/>
      <c r="EL13"/>
      <c r="EM13"/>
      <c r="EN13"/>
      <c r="EO13"/>
      <c r="EP13"/>
      <c r="EQ13"/>
      <c r="ER13"/>
      <c r="ES13"/>
      <c r="ET13"/>
      <c r="EU13"/>
      <c r="EV13"/>
      <c r="EW13"/>
      <c r="EX13"/>
      <c r="EY13"/>
      <c r="EZ13"/>
      <c r="FA13"/>
      <c r="FB13"/>
      <c r="FC13"/>
      <c r="FD13"/>
      <c r="FE13"/>
      <c r="FF13"/>
      <c r="FG13"/>
      <c r="FH13"/>
      <c r="FI13"/>
      <c r="FJ13"/>
      <c r="FK13"/>
      <c r="FL13"/>
      <c r="FM13"/>
      <c r="FN13"/>
      <c r="FO13"/>
      <c r="FP13"/>
      <c r="FQ13"/>
      <c r="FR13"/>
      <c r="FS13"/>
      <c r="FT13"/>
      <c r="FU13"/>
      <c r="FV13"/>
      <c r="FW13"/>
      <c r="FX13"/>
      <c r="FY13"/>
      <c r="FZ13"/>
    </row>
    <row r="14" spans="1:182" s="3" customFormat="1" ht="16.149999999999999" thickBot="1" x14ac:dyDescent="0.55000000000000004">
      <c r="A14"/>
      <c r="B14" s="37"/>
      <c r="C14"/>
      <c r="D14"/>
      <c r="E14"/>
      <c r="F14"/>
      <c r="G14"/>
      <c r="H14" s="34" t="s">
        <v>12</v>
      </c>
      <c r="I14" s="18" t="str">
        <f>VLOOKUP(I13,$A$2:$B$13,2,FALSE)</f>
        <v>January</v>
      </c>
      <c r="J14" s="18" t="str">
        <f t="shared" ref="J14:T14" si="0">VLOOKUP(J13,$A$2:$B$13,2,FALSE)</f>
        <v>February</v>
      </c>
      <c r="K14" s="18" t="str">
        <f t="shared" si="0"/>
        <v>March</v>
      </c>
      <c r="L14" s="18" t="str">
        <f t="shared" si="0"/>
        <v>April</v>
      </c>
      <c r="M14" s="18" t="str">
        <f t="shared" si="0"/>
        <v>May</v>
      </c>
      <c r="N14" s="18" t="str">
        <f t="shared" si="0"/>
        <v>June</v>
      </c>
      <c r="O14" s="18" t="str">
        <f t="shared" si="0"/>
        <v>July</v>
      </c>
      <c r="P14" s="18" t="str">
        <f t="shared" si="0"/>
        <v>August</v>
      </c>
      <c r="Q14" s="18" t="str">
        <f t="shared" si="0"/>
        <v>September</v>
      </c>
      <c r="R14" s="18" t="str">
        <f t="shared" si="0"/>
        <v>October</v>
      </c>
      <c r="S14" s="18" t="str">
        <f t="shared" si="0"/>
        <v>November</v>
      </c>
      <c r="T14" s="18" t="str">
        <f t="shared" si="0"/>
        <v>December</v>
      </c>
      <c r="U14"/>
      <c r="V14"/>
      <c r="W14" s="22"/>
      <c r="X14"/>
      <c r="Y14" s="22"/>
      <c r="Z14" s="22"/>
      <c r="AA14" s="22"/>
      <c r="AB14"/>
      <c r="AC14"/>
      <c r="AD14"/>
      <c r="AE14"/>
      <c r="AF14"/>
      <c r="AG14"/>
      <c r="AH14"/>
      <c r="AI14"/>
      <c r="AJ14"/>
      <c r="AK14"/>
      <c r="AL14"/>
      <c r="AM14"/>
      <c r="AN14"/>
      <c r="AO14"/>
      <c r="AP14"/>
      <c r="AQ14"/>
      <c r="AR14"/>
      <c r="AS14"/>
      <c r="AT14"/>
      <c r="AU14"/>
      <c r="AV14"/>
      <c r="AW14"/>
      <c r="AX14"/>
      <c r="AY14"/>
      <c r="AZ14"/>
      <c r="BA14"/>
      <c r="BB14"/>
      <c r="BC14"/>
      <c r="BD14"/>
      <c r="BE14"/>
      <c r="BF14"/>
      <c r="BG14"/>
      <c r="BH14"/>
      <c r="BI14"/>
      <c r="BJ14"/>
      <c r="BK14"/>
      <c r="BL14"/>
      <c r="BM14"/>
      <c r="BN14"/>
      <c r="BO14"/>
      <c r="BP14"/>
      <c r="BQ14"/>
      <c r="BR14"/>
      <c r="BS14"/>
      <c r="BT14"/>
      <c r="BU14"/>
      <c r="BV14"/>
      <c r="BW14"/>
      <c r="BX14"/>
      <c r="BY14"/>
      <c r="BZ14"/>
      <c r="CA14"/>
      <c r="CB14"/>
      <c r="CC14"/>
      <c r="CD14"/>
      <c r="CE14"/>
      <c r="CF14"/>
      <c r="CG14"/>
      <c r="CH14"/>
      <c r="CI14"/>
      <c r="CJ14"/>
      <c r="CK14"/>
      <c r="CL14"/>
      <c r="CM14"/>
      <c r="CN14"/>
      <c r="CO14"/>
      <c r="CP14"/>
      <c r="CQ14"/>
      <c r="CR14"/>
      <c r="CS14"/>
      <c r="CT14"/>
      <c r="CU14"/>
      <c r="CV14"/>
      <c r="CW14"/>
      <c r="CX14"/>
      <c r="CY14"/>
      <c r="CZ14"/>
      <c r="DA14"/>
      <c r="DB14"/>
      <c r="DC14"/>
      <c r="DD14"/>
      <c r="DE14"/>
      <c r="DF14"/>
      <c r="DG14"/>
      <c r="DH14"/>
      <c r="DI14"/>
      <c r="DJ14"/>
      <c r="DK14"/>
      <c r="DL14"/>
      <c r="DM14"/>
      <c r="DN14"/>
      <c r="DO14"/>
      <c r="DP14"/>
      <c r="DQ14"/>
      <c r="DR14"/>
      <c r="DS14"/>
      <c r="DT14"/>
      <c r="DU14"/>
      <c r="DV14"/>
      <c r="DW14"/>
      <c r="DX14"/>
      <c r="DY14"/>
      <c r="DZ14"/>
      <c r="EA14"/>
      <c r="EB14"/>
      <c r="EC14"/>
      <c r="ED14"/>
      <c r="EE14"/>
      <c r="EF14"/>
      <c r="EG14"/>
      <c r="EH14"/>
      <c r="EI14"/>
      <c r="EJ14"/>
      <c r="EK14"/>
      <c r="EL14"/>
      <c r="EM14"/>
      <c r="EN14"/>
      <c r="EO14"/>
      <c r="EP14"/>
      <c r="EQ14"/>
      <c r="ER14"/>
      <c r="ES14"/>
      <c r="ET14"/>
      <c r="EU14"/>
      <c r="EV14"/>
      <c r="EW14"/>
      <c r="EX14"/>
      <c r="EY14"/>
      <c r="EZ14"/>
      <c r="FA14"/>
      <c r="FB14"/>
      <c r="FC14"/>
      <c r="FD14"/>
      <c r="FE14"/>
      <c r="FF14"/>
      <c r="FG14"/>
      <c r="FH14"/>
      <c r="FI14"/>
      <c r="FJ14"/>
      <c r="FK14"/>
      <c r="FL14"/>
      <c r="FM14"/>
      <c r="FN14"/>
      <c r="FO14"/>
      <c r="FP14"/>
      <c r="FQ14"/>
      <c r="FR14"/>
      <c r="FS14"/>
      <c r="FT14"/>
      <c r="FU14"/>
      <c r="FV14"/>
      <c r="FW14"/>
      <c r="FX14"/>
      <c r="FY14"/>
      <c r="FZ14"/>
    </row>
    <row r="15" spans="1:182" s="1" customFormat="1" x14ac:dyDescent="0.45">
      <c r="A15" s="13" t="s">
        <v>32</v>
      </c>
      <c r="B15" s="57" t="s">
        <v>0</v>
      </c>
      <c r="C15" s="11" t="s">
        <v>88</v>
      </c>
      <c r="D15" s="67" t="s">
        <v>89</v>
      </c>
      <c r="E15"/>
      <c r="F15"/>
      <c r="G15"/>
      <c r="H15" s="35" t="s">
        <v>32</v>
      </c>
      <c r="I15" s="8">
        <f>IF(I14=$B$15,1,"")</f>
        <v>1</v>
      </c>
      <c r="J15" s="8">
        <f t="shared" ref="J15:T15" si="1">IF(I15=1,1,IF(J14=$B$15,1,""))</f>
        <v>1</v>
      </c>
      <c r="K15" s="8">
        <f t="shared" si="1"/>
        <v>1</v>
      </c>
      <c r="L15" s="8">
        <f t="shared" si="1"/>
        <v>1</v>
      </c>
      <c r="M15" s="8">
        <f t="shared" si="1"/>
        <v>1</v>
      </c>
      <c r="N15" s="8">
        <f t="shared" si="1"/>
        <v>1</v>
      </c>
      <c r="O15" s="8">
        <f t="shared" si="1"/>
        <v>1</v>
      </c>
      <c r="P15" s="8">
        <f t="shared" si="1"/>
        <v>1</v>
      </c>
      <c r="Q15" s="8">
        <f t="shared" si="1"/>
        <v>1</v>
      </c>
      <c r="R15" s="8">
        <f t="shared" si="1"/>
        <v>1</v>
      </c>
      <c r="S15" s="8">
        <f t="shared" si="1"/>
        <v>1</v>
      </c>
      <c r="T15" s="8">
        <f t="shared" si="1"/>
        <v>1</v>
      </c>
      <c r="U15"/>
      <c r="V15"/>
      <c r="W15" s="22"/>
      <c r="X15"/>
      <c r="Y15" s="22"/>
      <c r="Z15" s="22"/>
      <c r="AA15" s="22"/>
      <c r="AB15"/>
      <c r="AC15"/>
      <c r="AD15"/>
      <c r="AE15"/>
      <c r="AF15"/>
      <c r="AG15"/>
      <c r="AH15"/>
      <c r="AI15"/>
      <c r="AJ15"/>
      <c r="AK15"/>
      <c r="AL15"/>
      <c r="AM15"/>
      <c r="AN15"/>
      <c r="AO15"/>
      <c r="AP15"/>
      <c r="AQ15"/>
      <c r="AR15"/>
      <c r="AS15"/>
      <c r="AT15"/>
      <c r="AU15"/>
      <c r="AV15"/>
      <c r="AW15"/>
      <c r="AX15"/>
      <c r="AY15"/>
      <c r="AZ15"/>
      <c r="BA15"/>
      <c r="BB15"/>
      <c r="BC15"/>
      <c r="BD15"/>
      <c r="BE15"/>
      <c r="BF15"/>
      <c r="BG15"/>
      <c r="BH15"/>
      <c r="BI15"/>
      <c r="BJ15"/>
      <c r="BK15"/>
      <c r="BL15"/>
      <c r="BM15"/>
      <c r="BN15"/>
      <c r="BO15"/>
      <c r="BP15"/>
      <c r="BQ15"/>
      <c r="BR15"/>
      <c r="BS15"/>
      <c r="BT15"/>
      <c r="BU15"/>
      <c r="BV15"/>
      <c r="BW15"/>
      <c r="BX15"/>
      <c r="BY15"/>
      <c r="BZ15"/>
      <c r="CA15"/>
      <c r="CB15"/>
      <c r="CC15"/>
      <c r="CD15"/>
      <c r="CE15"/>
      <c r="CF15"/>
      <c r="CG15"/>
      <c r="CH15"/>
      <c r="CI15"/>
      <c r="CJ15"/>
      <c r="CK15"/>
      <c r="CL15"/>
      <c r="CM15"/>
      <c r="CN15"/>
      <c r="CO15"/>
      <c r="CP15"/>
      <c r="CQ15"/>
      <c r="CR15"/>
      <c r="CS15"/>
      <c r="CT15"/>
      <c r="CU15"/>
      <c r="CV15"/>
      <c r="CW15"/>
      <c r="CX15"/>
      <c r="CY15"/>
      <c r="CZ15"/>
      <c r="DA15"/>
      <c r="DB15"/>
      <c r="DC15"/>
      <c r="DD15"/>
      <c r="DE15"/>
      <c r="DF15"/>
      <c r="DG15"/>
      <c r="DH15"/>
      <c r="DI15"/>
      <c r="DJ15"/>
      <c r="DK15"/>
      <c r="DL15"/>
      <c r="DM15"/>
      <c r="DN15"/>
      <c r="DO15"/>
      <c r="DP15"/>
      <c r="DQ15"/>
      <c r="DR15"/>
      <c r="DS15"/>
      <c r="DT15"/>
      <c r="DU15"/>
      <c r="DV15"/>
      <c r="DW15"/>
      <c r="DX15"/>
      <c r="DY15"/>
      <c r="DZ15"/>
      <c r="EA15"/>
      <c r="EB15"/>
      <c r="EC15"/>
      <c r="ED15"/>
      <c r="EE15"/>
      <c r="EF15"/>
      <c r="EG15"/>
      <c r="EH15"/>
      <c r="EI15"/>
      <c r="EJ15"/>
      <c r="EK15"/>
      <c r="EL15"/>
      <c r="EM15"/>
      <c r="EN15"/>
      <c r="EO15"/>
      <c r="EP15"/>
      <c r="EQ15"/>
      <c r="ER15"/>
      <c r="ES15"/>
      <c r="ET15"/>
      <c r="EU15"/>
      <c r="EV15"/>
      <c r="EW15"/>
      <c r="EX15"/>
      <c r="EY15"/>
      <c r="EZ15"/>
      <c r="FA15"/>
      <c r="FB15"/>
      <c r="FC15"/>
      <c r="FD15"/>
      <c r="FE15"/>
      <c r="FF15"/>
      <c r="FG15"/>
      <c r="FH15"/>
      <c r="FI15"/>
      <c r="FJ15"/>
      <c r="FK15"/>
      <c r="FL15"/>
      <c r="FM15"/>
      <c r="FN15"/>
      <c r="FO15"/>
      <c r="FP15"/>
      <c r="FQ15"/>
      <c r="FR15"/>
      <c r="FS15"/>
      <c r="FT15"/>
      <c r="FU15"/>
      <c r="FV15"/>
      <c r="FW15"/>
      <c r="FX15"/>
      <c r="FY15"/>
      <c r="FZ15"/>
    </row>
    <row r="16" spans="1:182" ht="14.65" thickBot="1" x14ac:dyDescent="0.5">
      <c r="A16" s="14" t="s">
        <v>30</v>
      </c>
      <c r="B16" s="62">
        <f>C16+(C16*D16)</f>
        <v>345</v>
      </c>
      <c r="C16" s="59">
        <v>345</v>
      </c>
      <c r="D16" s="60">
        <v>0</v>
      </c>
      <c r="H16" s="6" t="s">
        <v>13</v>
      </c>
      <c r="I16" s="9">
        <f t="shared" ref="I16:T16" si="2">IF(I15=1,$B$16,"")</f>
        <v>345</v>
      </c>
      <c r="J16" s="9">
        <f t="shared" si="2"/>
        <v>345</v>
      </c>
      <c r="K16" s="9">
        <f t="shared" si="2"/>
        <v>345</v>
      </c>
      <c r="L16" s="9">
        <f t="shared" si="2"/>
        <v>345</v>
      </c>
      <c r="M16" s="9">
        <f t="shared" si="2"/>
        <v>345</v>
      </c>
      <c r="N16" s="9">
        <f t="shared" si="2"/>
        <v>345</v>
      </c>
      <c r="O16" s="9">
        <f t="shared" si="2"/>
        <v>345</v>
      </c>
      <c r="P16" s="9">
        <f t="shared" si="2"/>
        <v>345</v>
      </c>
      <c r="Q16" s="9">
        <f t="shared" si="2"/>
        <v>345</v>
      </c>
      <c r="R16" s="9">
        <f t="shared" si="2"/>
        <v>345</v>
      </c>
      <c r="S16" s="9">
        <f t="shared" si="2"/>
        <v>345</v>
      </c>
      <c r="T16" s="9">
        <f t="shared" si="2"/>
        <v>345</v>
      </c>
      <c r="W16" s="22"/>
      <c r="Y16" s="22"/>
      <c r="Z16" s="22"/>
      <c r="AA16" s="22"/>
    </row>
    <row r="17" spans="1:182" x14ac:dyDescent="0.45">
      <c r="A17" s="14" t="s">
        <v>16</v>
      </c>
      <c r="B17" s="39">
        <v>20</v>
      </c>
      <c r="H17" s="6" t="s">
        <v>16</v>
      </c>
      <c r="I17" s="9">
        <f t="shared" ref="I17:T17" si="3">IF(I15=1,$B$17,"")</f>
        <v>20</v>
      </c>
      <c r="J17" s="9">
        <f t="shared" si="3"/>
        <v>20</v>
      </c>
      <c r="K17" s="9">
        <f t="shared" si="3"/>
        <v>20</v>
      </c>
      <c r="L17" s="9">
        <f t="shared" si="3"/>
        <v>20</v>
      </c>
      <c r="M17" s="9">
        <f t="shared" si="3"/>
        <v>20</v>
      </c>
      <c r="N17" s="9">
        <f t="shared" si="3"/>
        <v>20</v>
      </c>
      <c r="O17" s="9">
        <f t="shared" si="3"/>
        <v>20</v>
      </c>
      <c r="P17" s="9">
        <f t="shared" si="3"/>
        <v>20</v>
      </c>
      <c r="Q17" s="9">
        <f t="shared" si="3"/>
        <v>20</v>
      </c>
      <c r="R17" s="9">
        <f t="shared" si="3"/>
        <v>20</v>
      </c>
      <c r="S17" s="9">
        <f t="shared" si="3"/>
        <v>20</v>
      </c>
      <c r="T17" s="9">
        <f t="shared" si="3"/>
        <v>20</v>
      </c>
      <c r="W17" s="22"/>
      <c r="Y17" s="22"/>
      <c r="Z17" s="22"/>
      <c r="AA17" s="22"/>
    </row>
    <row r="18" spans="1:182" x14ac:dyDescent="0.45">
      <c r="A18" s="14" t="s">
        <v>14</v>
      </c>
      <c r="B18" s="39">
        <v>-122</v>
      </c>
      <c r="H18" s="6" t="s">
        <v>14</v>
      </c>
      <c r="I18" s="9">
        <f>$B$18</f>
        <v>-122</v>
      </c>
      <c r="J18" s="9">
        <f t="shared" ref="J18:T18" si="4">$B$18</f>
        <v>-122</v>
      </c>
      <c r="K18" s="9">
        <f t="shared" si="4"/>
        <v>-122</v>
      </c>
      <c r="L18" s="9">
        <f t="shared" si="4"/>
        <v>-122</v>
      </c>
      <c r="M18" s="9">
        <f t="shared" si="4"/>
        <v>-122</v>
      </c>
      <c r="N18" s="9">
        <f t="shared" si="4"/>
        <v>-122</v>
      </c>
      <c r="O18" s="9">
        <f t="shared" si="4"/>
        <v>-122</v>
      </c>
      <c r="P18" s="9">
        <f t="shared" si="4"/>
        <v>-122</v>
      </c>
      <c r="Q18" s="9">
        <f t="shared" si="4"/>
        <v>-122</v>
      </c>
      <c r="R18" s="9">
        <f t="shared" si="4"/>
        <v>-122</v>
      </c>
      <c r="S18" s="9">
        <f t="shared" si="4"/>
        <v>-122</v>
      </c>
      <c r="T18" s="9">
        <f t="shared" si="4"/>
        <v>-122</v>
      </c>
      <c r="W18" s="22"/>
      <c r="Y18" s="22"/>
      <c r="Z18" s="22"/>
      <c r="AA18" s="22"/>
    </row>
    <row r="19" spans="1:182" x14ac:dyDescent="0.45">
      <c r="A19" s="14" t="s">
        <v>15</v>
      </c>
      <c r="B19" s="39">
        <v>-43</v>
      </c>
      <c r="H19" s="6" t="s">
        <v>15</v>
      </c>
      <c r="I19" s="9">
        <f>$B$19</f>
        <v>-43</v>
      </c>
      <c r="J19" s="9">
        <f t="shared" ref="J19:T19" si="5">$B$19</f>
        <v>-43</v>
      </c>
      <c r="K19" s="9">
        <f t="shared" si="5"/>
        <v>-43</v>
      </c>
      <c r="L19" s="9">
        <f t="shared" si="5"/>
        <v>-43</v>
      </c>
      <c r="M19" s="9">
        <f t="shared" si="5"/>
        <v>-43</v>
      </c>
      <c r="N19" s="9">
        <f t="shared" si="5"/>
        <v>-43</v>
      </c>
      <c r="O19" s="9">
        <f t="shared" si="5"/>
        <v>-43</v>
      </c>
      <c r="P19" s="9">
        <f t="shared" si="5"/>
        <v>-43</v>
      </c>
      <c r="Q19" s="9">
        <f t="shared" si="5"/>
        <v>-43</v>
      </c>
      <c r="R19" s="9">
        <f t="shared" si="5"/>
        <v>-43</v>
      </c>
      <c r="S19" s="9">
        <f t="shared" si="5"/>
        <v>-43</v>
      </c>
      <c r="T19" s="9">
        <f t="shared" si="5"/>
        <v>-43</v>
      </c>
      <c r="W19" s="22"/>
      <c r="Y19" s="22"/>
      <c r="Z19" s="22"/>
      <c r="AA19" s="22"/>
    </row>
    <row r="20" spans="1:182" ht="14.65" thickBot="1" x14ac:dyDescent="0.5">
      <c r="A20" s="15" t="s">
        <v>17</v>
      </c>
      <c r="B20" s="40">
        <v>-20</v>
      </c>
      <c r="H20" s="6" t="s">
        <v>17</v>
      </c>
      <c r="I20" s="9">
        <f t="shared" ref="I20:T20" si="6">IF(I15=1,$B$20,"")</f>
        <v>-20</v>
      </c>
      <c r="J20" s="9">
        <f t="shared" si="6"/>
        <v>-20</v>
      </c>
      <c r="K20" s="9">
        <f t="shared" si="6"/>
        <v>-20</v>
      </c>
      <c r="L20" s="9">
        <f t="shared" si="6"/>
        <v>-20</v>
      </c>
      <c r="M20" s="9">
        <f t="shared" si="6"/>
        <v>-20</v>
      </c>
      <c r="N20" s="9">
        <f t="shared" si="6"/>
        <v>-20</v>
      </c>
      <c r="O20" s="9">
        <f t="shared" si="6"/>
        <v>-20</v>
      </c>
      <c r="P20" s="9">
        <f t="shared" si="6"/>
        <v>-20</v>
      </c>
      <c r="Q20" s="9">
        <f t="shared" si="6"/>
        <v>-20</v>
      </c>
      <c r="R20" s="9">
        <f t="shared" si="6"/>
        <v>-20</v>
      </c>
      <c r="S20" s="9">
        <f t="shared" si="6"/>
        <v>-20</v>
      </c>
      <c r="T20" s="9">
        <f t="shared" si="6"/>
        <v>-20</v>
      </c>
      <c r="W20" s="22"/>
    </row>
    <row r="21" spans="1:182" x14ac:dyDescent="0.45">
      <c r="H21" s="6" t="s">
        <v>18</v>
      </c>
      <c r="I21" s="9" t="str">
        <f>IF(I14=$B$23,$B$24,"")</f>
        <v/>
      </c>
      <c r="J21" s="9" t="str">
        <f t="shared" ref="J21:T21" si="7">IF(J14=$B$23,$B$24,"")</f>
        <v/>
      </c>
      <c r="K21" s="9">
        <f t="shared" si="7"/>
        <v>-700</v>
      </c>
      <c r="L21" s="9" t="str">
        <f t="shared" si="7"/>
        <v/>
      </c>
      <c r="M21" s="9" t="str">
        <f t="shared" si="7"/>
        <v/>
      </c>
      <c r="N21" s="9" t="str">
        <f t="shared" si="7"/>
        <v/>
      </c>
      <c r="O21" s="9" t="str">
        <f t="shared" si="7"/>
        <v/>
      </c>
      <c r="P21" s="9" t="str">
        <f t="shared" si="7"/>
        <v/>
      </c>
      <c r="Q21" s="9" t="str">
        <f t="shared" si="7"/>
        <v/>
      </c>
      <c r="R21" s="9" t="str">
        <f t="shared" si="7"/>
        <v/>
      </c>
      <c r="S21" s="9" t="str">
        <f t="shared" si="7"/>
        <v/>
      </c>
      <c r="T21" s="9" t="str">
        <f t="shared" si="7"/>
        <v/>
      </c>
      <c r="W21" s="22"/>
    </row>
    <row r="22" spans="1:182" s="1" customFormat="1" ht="14.65" thickBot="1" x14ac:dyDescent="0.5">
      <c r="A22"/>
      <c r="B22" s="37"/>
      <c r="C22"/>
      <c r="D22"/>
      <c r="E22"/>
      <c r="F22"/>
      <c r="G22"/>
      <c r="H22" s="35" t="s">
        <v>33</v>
      </c>
      <c r="I22" s="8" t="str">
        <f>IF(I14=$B$27,1,"")</f>
        <v/>
      </c>
      <c r="J22" s="8" t="str">
        <f>IF(I22=1,1,IF(J14=$B$27,1,""))</f>
        <v/>
      </c>
      <c r="K22" s="8">
        <f t="shared" ref="K22:T22" si="8">IF(J22=1,1,IF(K14=$B$27,1,""))</f>
        <v>1</v>
      </c>
      <c r="L22" s="8">
        <f t="shared" si="8"/>
        <v>1</v>
      </c>
      <c r="M22" s="8">
        <f t="shared" si="8"/>
        <v>1</v>
      </c>
      <c r="N22" s="8">
        <f t="shared" si="8"/>
        <v>1</v>
      </c>
      <c r="O22" s="8">
        <f t="shared" si="8"/>
        <v>1</v>
      </c>
      <c r="P22" s="8">
        <f t="shared" si="8"/>
        <v>1</v>
      </c>
      <c r="Q22" s="8">
        <f t="shared" si="8"/>
        <v>1</v>
      </c>
      <c r="R22" s="8">
        <f t="shared" si="8"/>
        <v>1</v>
      </c>
      <c r="S22" s="8">
        <f t="shared" si="8"/>
        <v>1</v>
      </c>
      <c r="T22" s="8">
        <f t="shared" si="8"/>
        <v>1</v>
      </c>
      <c r="U22"/>
      <c r="V22"/>
      <c r="W22" s="22"/>
      <c r="X22"/>
      <c r="Y22"/>
      <c r="Z22"/>
      <c r="AA22"/>
      <c r="AB22"/>
      <c r="AC22"/>
      <c r="AD22"/>
      <c r="AE22"/>
      <c r="AF22"/>
      <c r="AG22"/>
      <c r="AH22"/>
      <c r="AI22"/>
      <c r="AJ22"/>
      <c r="AK22"/>
      <c r="AL22"/>
      <c r="AM22"/>
      <c r="AN22"/>
      <c r="AO22"/>
      <c r="AP22"/>
      <c r="AQ22"/>
      <c r="AR22"/>
      <c r="AS22"/>
      <c r="AT22"/>
      <c r="AU22"/>
      <c r="AV22"/>
      <c r="AW22"/>
      <c r="AX22"/>
      <c r="AY22"/>
      <c r="AZ22"/>
      <c r="BA22"/>
      <c r="BB22"/>
      <c r="BC22"/>
      <c r="BD22"/>
      <c r="BE22"/>
      <c r="BF22"/>
      <c r="BG22"/>
      <c r="BH22"/>
      <c r="BI22"/>
      <c r="BJ22"/>
      <c r="BK22"/>
      <c r="BL22"/>
      <c r="BM22"/>
      <c r="BN22"/>
      <c r="BO22"/>
      <c r="BP22"/>
      <c r="BQ22"/>
      <c r="BR22"/>
      <c r="BS22"/>
      <c r="BT22"/>
      <c r="BU22"/>
      <c r="BV22"/>
      <c r="BW22"/>
      <c r="BX22"/>
      <c r="BY22"/>
      <c r="BZ22"/>
      <c r="CA22"/>
      <c r="CB22"/>
      <c r="CC22"/>
      <c r="CD22"/>
      <c r="CE22"/>
      <c r="CF22"/>
      <c r="CG22"/>
      <c r="CH22"/>
      <c r="CI22"/>
      <c r="CJ22"/>
      <c r="CK22"/>
      <c r="CL22"/>
      <c r="CM22"/>
      <c r="CN22"/>
      <c r="CO22"/>
      <c r="CP22"/>
      <c r="CQ22"/>
      <c r="CR22"/>
      <c r="CS22"/>
      <c r="CT22"/>
      <c r="CU22"/>
      <c r="CV22"/>
      <c r="CW22"/>
      <c r="CX22"/>
      <c r="CY22"/>
      <c r="CZ22"/>
      <c r="DA22"/>
      <c r="DB22"/>
      <c r="DC22"/>
      <c r="DD22"/>
      <c r="DE22"/>
      <c r="DF22"/>
      <c r="DG22"/>
      <c r="DH22"/>
      <c r="DI22"/>
      <c r="DJ22"/>
      <c r="DK22"/>
      <c r="DL22"/>
      <c r="DM22"/>
      <c r="DN22"/>
      <c r="DO22"/>
      <c r="DP22"/>
      <c r="DQ22"/>
      <c r="DR22"/>
      <c r="DS22"/>
      <c r="DT22"/>
      <c r="DU22"/>
      <c r="DV22"/>
      <c r="DW22"/>
      <c r="DX22"/>
      <c r="DY22"/>
      <c r="DZ22"/>
      <c r="EA22"/>
      <c r="EB22"/>
      <c r="EC22"/>
      <c r="ED22"/>
      <c r="EE22"/>
      <c r="EF22"/>
      <c r="EG22"/>
      <c r="EH22"/>
      <c r="EI22"/>
      <c r="EJ22"/>
      <c r="EK22"/>
      <c r="EL22"/>
      <c r="EM22"/>
      <c r="EN22"/>
      <c r="EO22"/>
      <c r="EP22"/>
      <c r="EQ22"/>
      <c r="ER22"/>
      <c r="ES22"/>
      <c r="ET22"/>
      <c r="EU22"/>
      <c r="EV22"/>
      <c r="EW22"/>
      <c r="EX22"/>
      <c r="EY22"/>
      <c r="EZ22"/>
      <c r="FA22"/>
      <c r="FB22"/>
      <c r="FC22"/>
      <c r="FD22"/>
      <c r="FE22"/>
      <c r="FF22"/>
      <c r="FG22"/>
      <c r="FH22"/>
      <c r="FI22"/>
      <c r="FJ22"/>
      <c r="FK22"/>
      <c r="FL22"/>
      <c r="FM22"/>
      <c r="FN22"/>
      <c r="FO22"/>
      <c r="FP22"/>
      <c r="FQ22"/>
      <c r="FR22"/>
      <c r="FS22"/>
      <c r="FT22"/>
      <c r="FU22"/>
      <c r="FV22"/>
      <c r="FW22"/>
      <c r="FX22"/>
      <c r="FY22"/>
      <c r="FZ22"/>
    </row>
    <row r="23" spans="1:182" x14ac:dyDescent="0.45">
      <c r="A23" s="11" t="s">
        <v>35</v>
      </c>
      <c r="B23" s="16" t="s">
        <v>2</v>
      </c>
      <c r="H23" s="6" t="s">
        <v>13</v>
      </c>
      <c r="I23" s="9" t="str">
        <f>IF(I22=1,$B$28,"")</f>
        <v/>
      </c>
      <c r="J23" s="9" t="str">
        <f t="shared" ref="J23:T23" si="9">IF(J22=1,$B$28,"")</f>
        <v/>
      </c>
      <c r="K23" s="9">
        <f t="shared" si="9"/>
        <v>440</v>
      </c>
      <c r="L23" s="9">
        <f t="shared" si="9"/>
        <v>440</v>
      </c>
      <c r="M23" s="9">
        <f t="shared" si="9"/>
        <v>440</v>
      </c>
      <c r="N23" s="9">
        <f t="shared" si="9"/>
        <v>440</v>
      </c>
      <c r="O23" s="9">
        <f t="shared" si="9"/>
        <v>440</v>
      </c>
      <c r="P23" s="9">
        <f t="shared" si="9"/>
        <v>440</v>
      </c>
      <c r="Q23" s="9">
        <f t="shared" si="9"/>
        <v>440</v>
      </c>
      <c r="R23" s="9">
        <f t="shared" si="9"/>
        <v>440</v>
      </c>
      <c r="S23" s="9">
        <f t="shared" si="9"/>
        <v>440</v>
      </c>
      <c r="T23" s="9">
        <f t="shared" si="9"/>
        <v>440</v>
      </c>
      <c r="W23" s="22"/>
    </row>
    <row r="24" spans="1:182" ht="14.65" thickBot="1" x14ac:dyDescent="0.5">
      <c r="A24" s="12" t="s">
        <v>18</v>
      </c>
      <c r="B24" s="41">
        <v>-700</v>
      </c>
      <c r="H24" s="6" t="s">
        <v>16</v>
      </c>
      <c r="I24" s="9" t="str">
        <f>IF(I22=1,$B$29,"")</f>
        <v/>
      </c>
      <c r="J24" s="9" t="str">
        <f t="shared" ref="J24:T24" si="10">IF(J22=1,$B$29,"")</f>
        <v/>
      </c>
      <c r="K24" s="9">
        <f t="shared" si="10"/>
        <v>0</v>
      </c>
      <c r="L24" s="9">
        <f t="shared" si="10"/>
        <v>0</v>
      </c>
      <c r="M24" s="9">
        <f t="shared" si="10"/>
        <v>0</v>
      </c>
      <c r="N24" s="9">
        <f t="shared" si="10"/>
        <v>0</v>
      </c>
      <c r="O24" s="9">
        <f t="shared" si="10"/>
        <v>0</v>
      </c>
      <c r="P24" s="9">
        <f t="shared" si="10"/>
        <v>0</v>
      </c>
      <c r="Q24" s="9">
        <f t="shared" si="10"/>
        <v>0</v>
      </c>
      <c r="R24" s="9">
        <f t="shared" si="10"/>
        <v>0</v>
      </c>
      <c r="S24" s="9">
        <f t="shared" si="10"/>
        <v>0</v>
      </c>
      <c r="T24" s="9">
        <f t="shared" si="10"/>
        <v>0</v>
      </c>
      <c r="W24" s="22"/>
    </row>
    <row r="25" spans="1:182" x14ac:dyDescent="0.45">
      <c r="H25" s="6" t="s">
        <v>14</v>
      </c>
      <c r="I25" s="9">
        <f>$B$30</f>
        <v>-202</v>
      </c>
      <c r="J25" s="9">
        <f t="shared" ref="J25:T25" si="11">$B$30</f>
        <v>-202</v>
      </c>
      <c r="K25" s="9">
        <f t="shared" si="11"/>
        <v>-202</v>
      </c>
      <c r="L25" s="9">
        <f t="shared" si="11"/>
        <v>-202</v>
      </c>
      <c r="M25" s="9">
        <f t="shared" si="11"/>
        <v>-202</v>
      </c>
      <c r="N25" s="9">
        <f t="shared" si="11"/>
        <v>-202</v>
      </c>
      <c r="O25" s="9">
        <f t="shared" si="11"/>
        <v>-202</v>
      </c>
      <c r="P25" s="9">
        <f t="shared" si="11"/>
        <v>-202</v>
      </c>
      <c r="Q25" s="9">
        <f t="shared" si="11"/>
        <v>-202</v>
      </c>
      <c r="R25" s="9">
        <f t="shared" si="11"/>
        <v>-202</v>
      </c>
      <c r="S25" s="9">
        <f t="shared" si="11"/>
        <v>-202</v>
      </c>
      <c r="T25" s="9">
        <f t="shared" si="11"/>
        <v>-202</v>
      </c>
    </row>
    <row r="26" spans="1:182" ht="14.65" thickBot="1" x14ac:dyDescent="0.5">
      <c r="H26" s="6" t="s">
        <v>17</v>
      </c>
      <c r="I26" s="9" t="str">
        <f t="shared" ref="I26:T26" si="12">IF(I22=1,$B$31,"")</f>
        <v/>
      </c>
      <c r="J26" s="9" t="str">
        <f t="shared" si="12"/>
        <v/>
      </c>
      <c r="K26" s="9">
        <f t="shared" si="12"/>
        <v>-40</v>
      </c>
      <c r="L26" s="9">
        <f t="shared" si="12"/>
        <v>-40</v>
      </c>
      <c r="M26" s="9">
        <f t="shared" si="12"/>
        <v>-40</v>
      </c>
      <c r="N26" s="9">
        <f t="shared" si="12"/>
        <v>-40</v>
      </c>
      <c r="O26" s="9">
        <f t="shared" si="12"/>
        <v>-40</v>
      </c>
      <c r="P26" s="9">
        <f t="shared" si="12"/>
        <v>-40</v>
      </c>
      <c r="Q26" s="9">
        <f t="shared" si="12"/>
        <v>-40</v>
      </c>
      <c r="R26" s="9">
        <f t="shared" si="12"/>
        <v>-40</v>
      </c>
      <c r="S26" s="9">
        <f t="shared" si="12"/>
        <v>-40</v>
      </c>
      <c r="T26" s="9">
        <f t="shared" si="12"/>
        <v>-40</v>
      </c>
    </row>
    <row r="27" spans="1:182" x14ac:dyDescent="0.45">
      <c r="A27" s="13" t="s">
        <v>33</v>
      </c>
      <c r="B27" s="61" t="s">
        <v>2</v>
      </c>
      <c r="C27" s="11" t="s">
        <v>88</v>
      </c>
      <c r="D27" s="67" t="s">
        <v>89</v>
      </c>
      <c r="H27" s="6" t="s">
        <v>18</v>
      </c>
      <c r="I27" s="9" t="str">
        <f t="shared" ref="I27:T27" si="13">IF(I22=1,$B$32,"")</f>
        <v/>
      </c>
      <c r="J27" s="9" t="str">
        <f t="shared" si="13"/>
        <v/>
      </c>
      <c r="K27" s="9">
        <f t="shared" si="13"/>
        <v>0</v>
      </c>
      <c r="L27" s="9">
        <f t="shared" si="13"/>
        <v>0</v>
      </c>
      <c r="M27" s="9">
        <f t="shared" si="13"/>
        <v>0</v>
      </c>
      <c r="N27" s="9">
        <f t="shared" si="13"/>
        <v>0</v>
      </c>
      <c r="O27" s="9">
        <f t="shared" si="13"/>
        <v>0</v>
      </c>
      <c r="P27" s="9">
        <f t="shared" si="13"/>
        <v>0</v>
      </c>
      <c r="Q27" s="9">
        <f t="shared" si="13"/>
        <v>0</v>
      </c>
      <c r="R27" s="9">
        <f t="shared" si="13"/>
        <v>0</v>
      </c>
      <c r="S27" s="9">
        <f t="shared" si="13"/>
        <v>0</v>
      </c>
      <c r="T27" s="9">
        <f t="shared" si="13"/>
        <v>0</v>
      </c>
    </row>
    <row r="28" spans="1:182" ht="14.65" thickBot="1" x14ac:dyDescent="0.5">
      <c r="A28" s="14" t="s">
        <v>13</v>
      </c>
      <c r="B28" s="62">
        <f>C28+C28*D28</f>
        <v>440</v>
      </c>
      <c r="C28" s="59">
        <v>440</v>
      </c>
      <c r="D28" s="60">
        <v>0</v>
      </c>
      <c r="H28" s="35" t="s">
        <v>34</v>
      </c>
      <c r="I28" s="8" t="str">
        <f>IF(I14=$B$36,1,"")</f>
        <v/>
      </c>
      <c r="J28" s="8" t="str">
        <f t="shared" ref="J28:T28" si="14">IF(I28=1,1,IF(J14=$B$36,1,""))</f>
        <v/>
      </c>
      <c r="K28" s="8" t="str">
        <f t="shared" si="14"/>
        <v/>
      </c>
      <c r="L28" s="8" t="str">
        <f t="shared" si="14"/>
        <v/>
      </c>
      <c r="M28" s="8">
        <f t="shared" si="14"/>
        <v>1</v>
      </c>
      <c r="N28" s="8">
        <f t="shared" si="14"/>
        <v>1</v>
      </c>
      <c r="O28" s="8">
        <f t="shared" si="14"/>
        <v>1</v>
      </c>
      <c r="P28" s="8">
        <f t="shared" si="14"/>
        <v>1</v>
      </c>
      <c r="Q28" s="8">
        <f t="shared" si="14"/>
        <v>1</v>
      </c>
      <c r="R28" s="8">
        <f t="shared" si="14"/>
        <v>1</v>
      </c>
      <c r="S28" s="8">
        <f t="shared" si="14"/>
        <v>1</v>
      </c>
      <c r="T28" s="8">
        <f t="shared" si="14"/>
        <v>1</v>
      </c>
    </row>
    <row r="29" spans="1:182" s="1" customFormat="1" x14ac:dyDescent="0.45">
      <c r="A29" s="14" t="s">
        <v>16</v>
      </c>
      <c r="B29" s="39"/>
      <c r="C29"/>
      <c r="D29"/>
      <c r="E29"/>
      <c r="F29"/>
      <c r="G29"/>
      <c r="H29" s="6" t="s">
        <v>13</v>
      </c>
      <c r="I29" s="9" t="str">
        <f>IF(I28=1,$B$37,"")</f>
        <v/>
      </c>
      <c r="J29" s="9" t="str">
        <f t="shared" ref="J29:T29" si="15">IF(J28=1,$B$37,"")</f>
        <v/>
      </c>
      <c r="K29" s="9" t="str">
        <f t="shared" si="15"/>
        <v/>
      </c>
      <c r="L29" s="9" t="str">
        <f t="shared" si="15"/>
        <v/>
      </c>
      <c r="M29" s="9">
        <f t="shared" si="15"/>
        <v>600</v>
      </c>
      <c r="N29" s="9">
        <f t="shared" si="15"/>
        <v>600</v>
      </c>
      <c r="O29" s="9">
        <f t="shared" si="15"/>
        <v>600</v>
      </c>
      <c r="P29" s="9">
        <f t="shared" si="15"/>
        <v>600</v>
      </c>
      <c r="Q29" s="9">
        <f t="shared" si="15"/>
        <v>600</v>
      </c>
      <c r="R29" s="9">
        <f t="shared" si="15"/>
        <v>600</v>
      </c>
      <c r="S29" s="9">
        <f t="shared" si="15"/>
        <v>600</v>
      </c>
      <c r="T29" s="9">
        <f t="shared" si="15"/>
        <v>600</v>
      </c>
      <c r="U29"/>
      <c r="V29"/>
      <c r="W29"/>
      <c r="X29"/>
      <c r="Y29"/>
      <c r="Z29"/>
      <c r="AA29"/>
      <c r="AB29"/>
      <c r="AC29"/>
      <c r="AD29"/>
      <c r="AE29"/>
      <c r="AF29"/>
      <c r="AG29"/>
      <c r="AH29"/>
      <c r="AI29"/>
      <c r="AJ29"/>
      <c r="AK29"/>
      <c r="AL29"/>
      <c r="AM29"/>
      <c r="AN29"/>
      <c r="AO29"/>
      <c r="AP29"/>
      <c r="AQ29"/>
      <c r="AR29"/>
      <c r="AS29"/>
      <c r="AT29"/>
      <c r="AU29"/>
      <c r="AV29"/>
      <c r="AW29"/>
      <c r="AX29"/>
      <c r="AY29"/>
      <c r="AZ29"/>
      <c r="BA29"/>
      <c r="BB29"/>
      <c r="BC29"/>
      <c r="BD29"/>
      <c r="BE29"/>
      <c r="BF29"/>
      <c r="BG29"/>
      <c r="BH29"/>
      <c r="BI29"/>
      <c r="BJ29"/>
      <c r="BK29"/>
      <c r="BL29"/>
      <c r="BM29"/>
      <c r="BN29"/>
      <c r="BO29"/>
      <c r="BP29"/>
      <c r="BQ29"/>
      <c r="BR29"/>
      <c r="BS29"/>
      <c r="BT29"/>
      <c r="BU29"/>
      <c r="BV29"/>
      <c r="BW29"/>
      <c r="BX29"/>
      <c r="BY29"/>
      <c r="BZ29"/>
      <c r="CA29"/>
      <c r="CB29"/>
      <c r="CC29"/>
      <c r="CD29"/>
      <c r="CE29"/>
      <c r="CF29"/>
      <c r="CG29"/>
      <c r="CH29"/>
      <c r="CI29"/>
      <c r="CJ29"/>
      <c r="CK29"/>
      <c r="CL29"/>
      <c r="CM29"/>
      <c r="CN29"/>
      <c r="CO29"/>
      <c r="CP29"/>
      <c r="CQ29"/>
      <c r="CR29"/>
      <c r="CS29"/>
      <c r="CT29"/>
      <c r="CU29"/>
      <c r="CV29"/>
      <c r="CW29"/>
      <c r="CX29"/>
      <c r="CY29"/>
      <c r="CZ29"/>
      <c r="DA29"/>
      <c r="DB29"/>
      <c r="DC29"/>
      <c r="DD29"/>
      <c r="DE29"/>
      <c r="DF29"/>
      <c r="DG29"/>
      <c r="DH29"/>
      <c r="DI29"/>
      <c r="DJ29"/>
      <c r="DK29"/>
      <c r="DL29"/>
      <c r="DM29"/>
      <c r="DN29"/>
      <c r="DO29"/>
      <c r="DP29"/>
      <c r="DQ29"/>
      <c r="DR29"/>
      <c r="DS29"/>
      <c r="DT29"/>
      <c r="DU29"/>
      <c r="DV29"/>
      <c r="DW29"/>
      <c r="DX29"/>
      <c r="DY29"/>
      <c r="DZ29"/>
      <c r="EA29"/>
      <c r="EB29"/>
      <c r="EC29"/>
      <c r="ED29"/>
      <c r="EE29"/>
      <c r="EF29"/>
      <c r="EG29"/>
      <c r="EH29"/>
      <c r="EI29"/>
      <c r="EJ29"/>
      <c r="EK29"/>
      <c r="EL29"/>
      <c r="EM29"/>
      <c r="EN29"/>
      <c r="EO29"/>
      <c r="EP29"/>
      <c r="EQ29"/>
      <c r="ER29"/>
      <c r="ES29"/>
      <c r="ET29"/>
      <c r="EU29"/>
      <c r="EV29"/>
      <c r="EW29"/>
      <c r="EX29"/>
      <c r="EY29"/>
      <c r="EZ29"/>
      <c r="FA29"/>
      <c r="FB29"/>
      <c r="FC29"/>
      <c r="FD29"/>
      <c r="FE29"/>
      <c r="FF29"/>
      <c r="FG29"/>
      <c r="FH29"/>
      <c r="FI29"/>
      <c r="FJ29"/>
      <c r="FK29"/>
      <c r="FL29"/>
      <c r="FM29"/>
      <c r="FN29"/>
      <c r="FO29"/>
      <c r="FP29"/>
      <c r="FQ29"/>
      <c r="FR29"/>
      <c r="FS29"/>
      <c r="FT29"/>
      <c r="FU29"/>
      <c r="FV29"/>
      <c r="FW29"/>
      <c r="FX29"/>
      <c r="FY29"/>
      <c r="FZ29"/>
    </row>
    <row r="30" spans="1:182" x14ac:dyDescent="0.45">
      <c r="A30" s="14" t="s">
        <v>14</v>
      </c>
      <c r="B30" s="39">
        <v>-202</v>
      </c>
      <c r="H30" s="6" t="s">
        <v>16</v>
      </c>
      <c r="I30" s="9" t="str">
        <f>IF(I28=1,$B$38,"")</f>
        <v/>
      </c>
      <c r="J30" s="9" t="str">
        <f t="shared" ref="J30:T30" si="16">IF(J28=1,$B$38,"")</f>
        <v/>
      </c>
      <c r="K30" s="9" t="str">
        <f t="shared" si="16"/>
        <v/>
      </c>
      <c r="L30" s="9" t="str">
        <f t="shared" si="16"/>
        <v/>
      </c>
      <c r="M30" s="9">
        <f t="shared" si="16"/>
        <v>51</v>
      </c>
      <c r="N30" s="9">
        <f t="shared" si="16"/>
        <v>51</v>
      </c>
      <c r="O30" s="9">
        <f t="shared" si="16"/>
        <v>51</v>
      </c>
      <c r="P30" s="9">
        <f t="shared" si="16"/>
        <v>51</v>
      </c>
      <c r="Q30" s="9">
        <f t="shared" si="16"/>
        <v>51</v>
      </c>
      <c r="R30" s="9">
        <f t="shared" si="16"/>
        <v>51</v>
      </c>
      <c r="S30" s="9">
        <f t="shared" si="16"/>
        <v>51</v>
      </c>
      <c r="T30" s="9">
        <f t="shared" si="16"/>
        <v>51</v>
      </c>
    </row>
    <row r="31" spans="1:182" x14ac:dyDescent="0.45">
      <c r="A31" s="14" t="s">
        <v>17</v>
      </c>
      <c r="B31" s="39">
        <v>-40</v>
      </c>
      <c r="H31" s="6" t="s">
        <v>14</v>
      </c>
      <c r="I31" s="9">
        <f>$B$39</f>
        <v>-121</v>
      </c>
      <c r="J31" s="9">
        <f t="shared" ref="J31:T31" si="17">$B$39</f>
        <v>-121</v>
      </c>
      <c r="K31" s="9">
        <f t="shared" si="17"/>
        <v>-121</v>
      </c>
      <c r="L31" s="9">
        <f t="shared" si="17"/>
        <v>-121</v>
      </c>
      <c r="M31" s="9">
        <f t="shared" si="17"/>
        <v>-121</v>
      </c>
      <c r="N31" s="9">
        <f t="shared" si="17"/>
        <v>-121</v>
      </c>
      <c r="O31" s="9">
        <f t="shared" si="17"/>
        <v>-121</v>
      </c>
      <c r="P31" s="9">
        <f t="shared" si="17"/>
        <v>-121</v>
      </c>
      <c r="Q31" s="9">
        <f t="shared" si="17"/>
        <v>-121</v>
      </c>
      <c r="R31" s="9">
        <f t="shared" si="17"/>
        <v>-121</v>
      </c>
      <c r="S31" s="9">
        <f t="shared" si="17"/>
        <v>-121</v>
      </c>
      <c r="T31" s="9">
        <f t="shared" si="17"/>
        <v>-121</v>
      </c>
    </row>
    <row r="32" spans="1:182" ht="14.65" thickBot="1" x14ac:dyDescent="0.5">
      <c r="A32" s="15" t="s">
        <v>18</v>
      </c>
      <c r="B32" s="40"/>
      <c r="H32" s="6" t="s">
        <v>15</v>
      </c>
      <c r="I32" s="9">
        <f>$B$40</f>
        <v>-44</v>
      </c>
      <c r="J32" s="9">
        <f t="shared" ref="J32:T32" si="18">$B$40</f>
        <v>-44</v>
      </c>
      <c r="K32" s="9">
        <f t="shared" si="18"/>
        <v>-44</v>
      </c>
      <c r="L32" s="9">
        <f t="shared" si="18"/>
        <v>-44</v>
      </c>
      <c r="M32" s="9">
        <f t="shared" si="18"/>
        <v>-44</v>
      </c>
      <c r="N32" s="9">
        <f t="shared" si="18"/>
        <v>-44</v>
      </c>
      <c r="O32" s="9">
        <f t="shared" si="18"/>
        <v>-44</v>
      </c>
      <c r="P32" s="9">
        <f t="shared" si="18"/>
        <v>-44</v>
      </c>
      <c r="Q32" s="9">
        <f t="shared" si="18"/>
        <v>-44</v>
      </c>
      <c r="R32" s="9">
        <f t="shared" si="18"/>
        <v>-44</v>
      </c>
      <c r="S32" s="9">
        <f t="shared" si="18"/>
        <v>-44</v>
      </c>
      <c r="T32" s="9">
        <f t="shared" si="18"/>
        <v>-44</v>
      </c>
    </row>
    <row r="33" spans="1:182" x14ac:dyDescent="0.45">
      <c r="H33" s="6" t="s">
        <v>17</v>
      </c>
      <c r="I33" s="9" t="str">
        <f>IF(I28=1,$B$41,"")</f>
        <v/>
      </c>
      <c r="J33" s="9" t="str">
        <f t="shared" ref="J33:T33" si="19">IF(J28=1,$B$41,"")</f>
        <v/>
      </c>
      <c r="K33" s="9" t="str">
        <f t="shared" si="19"/>
        <v/>
      </c>
      <c r="L33" s="9" t="str">
        <f t="shared" si="19"/>
        <v/>
      </c>
      <c r="M33" s="9">
        <f t="shared" si="19"/>
        <v>-51</v>
      </c>
      <c r="N33" s="9">
        <f t="shared" si="19"/>
        <v>-51</v>
      </c>
      <c r="O33" s="9">
        <f t="shared" si="19"/>
        <v>-51</v>
      </c>
      <c r="P33" s="9">
        <f t="shared" si="19"/>
        <v>-51</v>
      </c>
      <c r="Q33" s="9">
        <f t="shared" si="19"/>
        <v>-51</v>
      </c>
      <c r="R33" s="9">
        <f t="shared" si="19"/>
        <v>-51</v>
      </c>
      <c r="S33" s="9">
        <f t="shared" si="19"/>
        <v>-51</v>
      </c>
      <c r="T33" s="9">
        <f t="shared" si="19"/>
        <v>-51</v>
      </c>
    </row>
    <row r="34" spans="1:182" x14ac:dyDescent="0.45">
      <c r="E34" t="s">
        <v>93</v>
      </c>
      <c r="H34" s="35" t="s">
        <v>48</v>
      </c>
      <c r="I34" s="35">
        <f>IF(I14=$B$43,1,"")</f>
        <v>1</v>
      </c>
      <c r="J34" s="35">
        <f>IF(J14=$B$43,1,IF(AND(I34=1,SUM($I$34:I34)&lt;$B$44),1,""))</f>
        <v>1</v>
      </c>
      <c r="K34" s="35">
        <f>IF(K14=$B$43,1,IF(AND(J34=1,SUM($I$34:J34)&lt;$B$44),1,""))</f>
        <v>1</v>
      </c>
      <c r="L34" s="35">
        <f>IF(L14=$B$43,1,IF(AND(K34=1,SUM($I$34:K34)&lt;$B$44),1,""))</f>
        <v>1</v>
      </c>
      <c r="M34" s="35" t="str">
        <f>IF(M14=$B$43,1,IF(AND(L34=1,SUM($I$34:L34)&lt;$B$44),1,""))</f>
        <v/>
      </c>
      <c r="N34" s="35" t="str">
        <f>IF(N14=$B$43,1,IF(AND(M34=1,SUM($I$34:M34)&lt;$B$44),1,""))</f>
        <v/>
      </c>
      <c r="O34" s="35" t="str">
        <f>IF(O14=$B$43,1,IF(AND(N34=1,SUM($I$34:N34)&lt;$B$44),1,""))</f>
        <v/>
      </c>
      <c r="P34" s="35" t="str">
        <f>IF(P14=$B$43,1,IF(AND(O34=1,SUM($I$34:O34)&lt;$B$44),1,""))</f>
        <v/>
      </c>
      <c r="Q34" s="35" t="str">
        <f>IF(Q14=$B$43,1,IF(AND(P34=1,SUM($I$34:P34)&lt;$B$44),1,""))</f>
        <v/>
      </c>
      <c r="R34" s="35" t="str">
        <f>IF(R14=$B$43,1,IF(AND(Q34=1,SUM($I$34:Q34)&lt;$B$44),1,""))</f>
        <v/>
      </c>
      <c r="S34" s="35" t="str">
        <f>IF(S14=$B$43,1,IF(AND(R34=1,SUM($I$34:R34)&lt;$B$44),1,""))</f>
        <v/>
      </c>
      <c r="T34" s="35" t="str">
        <f>IF(T14=$B$43,1,IF(AND(S34=1,SUM($I$34:S34)&lt;$B$44),1,""))</f>
        <v/>
      </c>
    </row>
    <row r="35" spans="1:182" ht="14.65" thickBot="1" x14ac:dyDescent="0.5">
      <c r="H35" s="6" t="s">
        <v>51</v>
      </c>
      <c r="I35" s="9">
        <f>IF(I34=1,$B$45/$B$44,"")</f>
        <v>-1000</v>
      </c>
      <c r="J35" s="9">
        <f t="shared" ref="J35:T35" si="20">IF(J34=1,$B$45/$B$44,"")</f>
        <v>-1000</v>
      </c>
      <c r="K35" s="9">
        <f t="shared" si="20"/>
        <v>-1000</v>
      </c>
      <c r="L35" s="9">
        <f t="shared" si="20"/>
        <v>-1000</v>
      </c>
      <c r="M35" s="9" t="str">
        <f t="shared" si="20"/>
        <v/>
      </c>
      <c r="N35" s="9" t="str">
        <f t="shared" si="20"/>
        <v/>
      </c>
      <c r="O35" s="9" t="str">
        <f t="shared" si="20"/>
        <v/>
      </c>
      <c r="P35" s="9" t="str">
        <f t="shared" si="20"/>
        <v/>
      </c>
      <c r="Q35" s="9" t="str">
        <f t="shared" si="20"/>
        <v/>
      </c>
      <c r="R35" s="9" t="str">
        <f t="shared" si="20"/>
        <v/>
      </c>
      <c r="S35" s="9" t="str">
        <f t="shared" si="20"/>
        <v/>
      </c>
      <c r="T35" s="9" t="str">
        <f t="shared" si="20"/>
        <v/>
      </c>
    </row>
    <row r="36" spans="1:182" x14ac:dyDescent="0.45">
      <c r="A36" s="9" t="s">
        <v>34</v>
      </c>
      <c r="B36" s="58" t="s">
        <v>4</v>
      </c>
      <c r="C36" s="11" t="s">
        <v>88</v>
      </c>
      <c r="D36" s="67" t="s">
        <v>89</v>
      </c>
      <c r="H36" s="35" t="s">
        <v>41</v>
      </c>
      <c r="I36" s="7">
        <f>IF(I14=$B$47,1,"")</f>
        <v>1</v>
      </c>
      <c r="J36" s="7">
        <f t="shared" ref="J36:T36" si="21">IF(I36=1,1,IF(J14=$B$47,1,""))</f>
        <v>1</v>
      </c>
      <c r="K36" s="7">
        <f t="shared" si="21"/>
        <v>1</v>
      </c>
      <c r="L36" s="7">
        <f t="shared" si="21"/>
        <v>1</v>
      </c>
      <c r="M36" s="7">
        <f t="shared" si="21"/>
        <v>1</v>
      </c>
      <c r="N36" s="7">
        <f t="shared" si="21"/>
        <v>1</v>
      </c>
      <c r="O36" s="7">
        <f t="shared" si="21"/>
        <v>1</v>
      </c>
      <c r="P36" s="7">
        <f t="shared" si="21"/>
        <v>1</v>
      </c>
      <c r="Q36" s="7">
        <f t="shared" si="21"/>
        <v>1</v>
      </c>
      <c r="R36" s="7">
        <f t="shared" si="21"/>
        <v>1</v>
      </c>
      <c r="S36" s="7">
        <f t="shared" si="21"/>
        <v>1</v>
      </c>
      <c r="T36" s="7">
        <f t="shared" si="21"/>
        <v>1</v>
      </c>
    </row>
    <row r="37" spans="1:182" s="1" customFormat="1" ht="14.65" thickBot="1" x14ac:dyDescent="0.5">
      <c r="A37" s="9" t="s">
        <v>13</v>
      </c>
      <c r="B37" s="62">
        <f>C37+C37*D37</f>
        <v>600</v>
      </c>
      <c r="C37" s="59">
        <v>600</v>
      </c>
      <c r="D37" s="60">
        <v>0</v>
      </c>
      <c r="E37"/>
      <c r="F37"/>
      <c r="G37"/>
      <c r="H37" s="6" t="s">
        <v>19</v>
      </c>
      <c r="I37" s="19">
        <f t="shared" ref="I37:T37" si="22">IF(I36=1,$B$48,"")</f>
        <v>-10</v>
      </c>
      <c r="J37" s="19">
        <f t="shared" si="22"/>
        <v>-10</v>
      </c>
      <c r="K37" s="19">
        <f t="shared" si="22"/>
        <v>-10</v>
      </c>
      <c r="L37" s="19">
        <f t="shared" si="22"/>
        <v>-10</v>
      </c>
      <c r="M37" s="19">
        <f t="shared" si="22"/>
        <v>-10</v>
      </c>
      <c r="N37" s="19">
        <f t="shared" si="22"/>
        <v>-10</v>
      </c>
      <c r="O37" s="19">
        <f t="shared" si="22"/>
        <v>-10</v>
      </c>
      <c r="P37" s="19">
        <f t="shared" si="22"/>
        <v>-10</v>
      </c>
      <c r="Q37" s="19">
        <f t="shared" si="22"/>
        <v>-10</v>
      </c>
      <c r="R37" s="19">
        <f t="shared" si="22"/>
        <v>-10</v>
      </c>
      <c r="S37" s="19">
        <f t="shared" si="22"/>
        <v>-10</v>
      </c>
      <c r="T37" s="19">
        <f t="shared" si="22"/>
        <v>-10</v>
      </c>
      <c r="U37"/>
      <c r="V37"/>
      <c r="W37"/>
      <c r="X37"/>
      <c r="Y37"/>
      <c r="Z37"/>
      <c r="AA37"/>
      <c r="AB37"/>
      <c r="AC37"/>
      <c r="AD37"/>
      <c r="AE37"/>
      <c r="AF37"/>
      <c r="AG37"/>
      <c r="AH37"/>
      <c r="AI37"/>
      <c r="AJ37"/>
      <c r="AK37"/>
      <c r="AL37"/>
      <c r="AM37"/>
      <c r="AN37"/>
      <c r="AO37"/>
      <c r="AP37"/>
      <c r="AQ37"/>
      <c r="AR37"/>
      <c r="AS37"/>
      <c r="AT37"/>
      <c r="AU37"/>
      <c r="AV37"/>
      <c r="AW37"/>
      <c r="AX37"/>
      <c r="AY37"/>
      <c r="AZ37"/>
      <c r="BA37"/>
      <c r="BB37"/>
      <c r="BC37"/>
      <c r="BD37"/>
      <c r="BE37"/>
      <c r="BF37"/>
      <c r="BG37"/>
      <c r="BH37"/>
      <c r="BI37"/>
      <c r="BJ37"/>
      <c r="BK37"/>
      <c r="BL37"/>
      <c r="BM37"/>
      <c r="BN37"/>
      <c r="BO37"/>
      <c r="BP37"/>
      <c r="BQ37"/>
      <c r="BR37"/>
      <c r="BS37"/>
      <c r="BT37"/>
      <c r="BU37"/>
      <c r="BV37"/>
      <c r="BW37"/>
      <c r="BX37"/>
      <c r="BY37"/>
      <c r="BZ37"/>
      <c r="CA37"/>
      <c r="CB37"/>
      <c r="CC37"/>
      <c r="CD37"/>
      <c r="CE37"/>
      <c r="CF37"/>
      <c r="CG37"/>
      <c r="CH37"/>
      <c r="CI37"/>
      <c r="CJ37"/>
      <c r="CK37"/>
      <c r="CL37"/>
      <c r="CM37"/>
      <c r="CN37"/>
      <c r="CO37"/>
      <c r="CP37"/>
      <c r="CQ37"/>
      <c r="CR37"/>
      <c r="CS37"/>
      <c r="CT37"/>
      <c r="CU37"/>
      <c r="CV37"/>
      <c r="CW37"/>
      <c r="CX37"/>
      <c r="CY37"/>
      <c r="CZ37"/>
      <c r="DA37"/>
      <c r="DB37"/>
      <c r="DC37"/>
      <c r="DD37"/>
      <c r="DE37"/>
      <c r="DF37"/>
      <c r="DG37"/>
      <c r="DH37"/>
      <c r="DI37"/>
      <c r="DJ37"/>
      <c r="DK37"/>
      <c r="DL37"/>
      <c r="DM37"/>
      <c r="DN37"/>
      <c r="DO37"/>
      <c r="DP37"/>
      <c r="DQ37"/>
      <c r="DR37"/>
      <c r="DS37"/>
      <c r="DT37"/>
      <c r="DU37"/>
      <c r="DV37"/>
      <c r="DW37"/>
      <c r="DX37"/>
      <c r="DY37"/>
      <c r="DZ37"/>
      <c r="EA37"/>
      <c r="EB37"/>
      <c r="EC37"/>
      <c r="ED37"/>
      <c r="EE37"/>
      <c r="EF37"/>
      <c r="EG37"/>
      <c r="EH37"/>
      <c r="EI37"/>
      <c r="EJ37"/>
      <c r="EK37"/>
      <c r="EL37"/>
      <c r="EM37"/>
      <c r="EN37"/>
      <c r="EO37"/>
      <c r="EP37"/>
      <c r="EQ37"/>
      <c r="ER37"/>
      <c r="ES37"/>
      <c r="ET37"/>
      <c r="EU37"/>
      <c r="EV37"/>
      <c r="EW37"/>
      <c r="EX37"/>
      <c r="EY37"/>
      <c r="EZ37"/>
      <c r="FA37"/>
      <c r="FB37"/>
      <c r="FC37"/>
      <c r="FD37"/>
      <c r="FE37"/>
      <c r="FF37"/>
      <c r="FG37"/>
      <c r="FH37"/>
      <c r="FI37"/>
      <c r="FJ37"/>
      <c r="FK37"/>
      <c r="FL37"/>
      <c r="FM37"/>
      <c r="FN37"/>
      <c r="FO37"/>
      <c r="FP37"/>
      <c r="FQ37"/>
      <c r="FR37"/>
      <c r="FS37"/>
      <c r="FT37"/>
      <c r="FU37"/>
      <c r="FV37"/>
      <c r="FW37"/>
      <c r="FX37"/>
      <c r="FY37"/>
      <c r="FZ37"/>
    </row>
    <row r="38" spans="1:182" x14ac:dyDescent="0.45">
      <c r="A38" s="9" t="s">
        <v>16</v>
      </c>
      <c r="B38" s="42">
        <v>51</v>
      </c>
      <c r="H38" s="35" t="s">
        <v>40</v>
      </c>
      <c r="I38" s="7">
        <f>IF(I14=$B$50,1,"")</f>
        <v>1</v>
      </c>
      <c r="J38" s="7">
        <f t="shared" ref="J38:T38" si="23">IF(I36=1,1,IF(J14=$B$50,1,""))</f>
        <v>1</v>
      </c>
      <c r="K38" s="7">
        <f t="shared" si="23"/>
        <v>1</v>
      </c>
      <c r="L38" s="7">
        <f t="shared" si="23"/>
        <v>1</v>
      </c>
      <c r="M38" s="7">
        <f t="shared" si="23"/>
        <v>1</v>
      </c>
      <c r="N38" s="7">
        <f t="shared" si="23"/>
        <v>1</v>
      </c>
      <c r="O38" s="7">
        <f t="shared" si="23"/>
        <v>1</v>
      </c>
      <c r="P38" s="7">
        <f t="shared" si="23"/>
        <v>1</v>
      </c>
      <c r="Q38" s="7">
        <f t="shared" si="23"/>
        <v>1</v>
      </c>
      <c r="R38" s="7">
        <f t="shared" si="23"/>
        <v>1</v>
      </c>
      <c r="S38" s="7">
        <f t="shared" si="23"/>
        <v>1</v>
      </c>
      <c r="T38" s="7">
        <f t="shared" si="23"/>
        <v>1</v>
      </c>
    </row>
    <row r="39" spans="1:182" x14ac:dyDescent="0.45">
      <c r="A39" s="9" t="s">
        <v>14</v>
      </c>
      <c r="B39" s="42">
        <v>-121</v>
      </c>
      <c r="H39" s="6" t="s">
        <v>20</v>
      </c>
      <c r="I39" s="9">
        <f t="shared" ref="I39:T39" si="24">IF(I38=1,$B$51,"")</f>
        <v>-55</v>
      </c>
      <c r="J39" s="9">
        <f t="shared" si="24"/>
        <v>-55</v>
      </c>
      <c r="K39" s="9">
        <f t="shared" si="24"/>
        <v>-55</v>
      </c>
      <c r="L39" s="9">
        <f t="shared" si="24"/>
        <v>-55</v>
      </c>
      <c r="M39" s="9">
        <f t="shared" si="24"/>
        <v>-55</v>
      </c>
      <c r="N39" s="9">
        <f t="shared" si="24"/>
        <v>-55</v>
      </c>
      <c r="O39" s="9">
        <f t="shared" si="24"/>
        <v>-55</v>
      </c>
      <c r="P39" s="9">
        <f t="shared" si="24"/>
        <v>-55</v>
      </c>
      <c r="Q39" s="9">
        <f t="shared" si="24"/>
        <v>-55</v>
      </c>
      <c r="R39" s="9">
        <f t="shared" si="24"/>
        <v>-55</v>
      </c>
      <c r="S39" s="9">
        <f t="shared" si="24"/>
        <v>-55</v>
      </c>
      <c r="T39" s="9">
        <f t="shared" si="24"/>
        <v>-55</v>
      </c>
    </row>
    <row r="40" spans="1:182" x14ac:dyDescent="0.45">
      <c r="A40" s="9" t="s">
        <v>15</v>
      </c>
      <c r="B40" s="42">
        <v>-44</v>
      </c>
      <c r="H40" s="6" t="s">
        <v>21</v>
      </c>
      <c r="I40" s="9" t="str">
        <f t="shared" ref="I40:T40" si="25">IF(I14=$B$53,$B$54,"")</f>
        <v/>
      </c>
      <c r="J40" s="9" t="str">
        <f t="shared" si="25"/>
        <v/>
      </c>
      <c r="K40" s="9">
        <f t="shared" si="25"/>
        <v>-300</v>
      </c>
      <c r="L40" s="9" t="str">
        <f t="shared" si="25"/>
        <v/>
      </c>
      <c r="M40" s="9" t="str">
        <f t="shared" si="25"/>
        <v/>
      </c>
      <c r="N40" s="9" t="str">
        <f t="shared" si="25"/>
        <v/>
      </c>
      <c r="O40" s="9" t="str">
        <f t="shared" si="25"/>
        <v/>
      </c>
      <c r="P40" s="9" t="str">
        <f t="shared" si="25"/>
        <v/>
      </c>
      <c r="Q40" s="9" t="str">
        <f t="shared" si="25"/>
        <v/>
      </c>
      <c r="R40" s="9" t="str">
        <f t="shared" si="25"/>
        <v/>
      </c>
      <c r="S40" s="9" t="str">
        <f t="shared" si="25"/>
        <v/>
      </c>
      <c r="T40" s="9" t="str">
        <f t="shared" si="25"/>
        <v/>
      </c>
    </row>
    <row r="41" spans="1:182" x14ac:dyDescent="0.45">
      <c r="A41" s="9" t="s">
        <v>17</v>
      </c>
      <c r="B41" s="42">
        <v>-51</v>
      </c>
      <c r="H41" s="6" t="s">
        <v>22</v>
      </c>
      <c r="I41" s="9" t="str">
        <f t="shared" ref="I41:T41" si="26">IF(I14=$B$56,$B$57,"")</f>
        <v/>
      </c>
      <c r="J41" s="9" t="str">
        <f t="shared" si="26"/>
        <v/>
      </c>
      <c r="K41" s="9" t="str">
        <f t="shared" si="26"/>
        <v/>
      </c>
      <c r="L41" s="9" t="str">
        <f t="shared" si="26"/>
        <v/>
      </c>
      <c r="M41" s="9" t="str">
        <f t="shared" si="26"/>
        <v/>
      </c>
      <c r="N41" s="9" t="str">
        <f t="shared" si="26"/>
        <v/>
      </c>
      <c r="O41" s="9" t="str">
        <f t="shared" si="26"/>
        <v/>
      </c>
      <c r="P41" s="9" t="str">
        <f t="shared" si="26"/>
        <v/>
      </c>
      <c r="Q41" s="9" t="str">
        <f t="shared" si="26"/>
        <v/>
      </c>
      <c r="R41" s="9">
        <f t="shared" si="26"/>
        <v>-440</v>
      </c>
      <c r="S41" s="9" t="str">
        <f t="shared" si="26"/>
        <v/>
      </c>
      <c r="T41" s="9" t="str">
        <f t="shared" si="26"/>
        <v/>
      </c>
    </row>
    <row r="42" spans="1:182" ht="14.65" thickBot="1" x14ac:dyDescent="0.5">
      <c r="H42" s="6" t="s">
        <v>23</v>
      </c>
      <c r="I42" s="9"/>
      <c r="J42" s="9"/>
      <c r="K42" s="9">
        <f>B59</f>
        <v>-100</v>
      </c>
      <c r="L42" s="9"/>
      <c r="M42" s="9"/>
      <c r="N42" s="9">
        <f>B59</f>
        <v>-100</v>
      </c>
      <c r="O42" s="9"/>
      <c r="P42" s="9"/>
      <c r="Q42" s="9">
        <f>B59</f>
        <v>-100</v>
      </c>
      <c r="R42" s="19"/>
      <c r="S42" s="9"/>
      <c r="T42" s="9">
        <f>B59</f>
        <v>-100</v>
      </c>
    </row>
    <row r="43" spans="1:182" x14ac:dyDescent="0.45">
      <c r="A43" s="13" t="s">
        <v>48</v>
      </c>
      <c r="B43" s="16" t="s">
        <v>0</v>
      </c>
      <c r="H43" s="6" t="s">
        <v>46</v>
      </c>
      <c r="I43" s="9" t="str">
        <f t="shared" ref="I43:T43" si="27">IF(I14=$B$62,$B$63,"")</f>
        <v/>
      </c>
      <c r="J43" s="9" t="str">
        <f t="shared" si="27"/>
        <v/>
      </c>
      <c r="K43" s="9" t="str">
        <f t="shared" si="27"/>
        <v/>
      </c>
      <c r="L43" s="9" t="str">
        <f t="shared" si="27"/>
        <v/>
      </c>
      <c r="M43" s="9" t="str">
        <f t="shared" si="27"/>
        <v/>
      </c>
      <c r="N43" s="9" t="str">
        <f t="shared" si="27"/>
        <v/>
      </c>
      <c r="O43" s="9" t="str">
        <f t="shared" si="27"/>
        <v/>
      </c>
      <c r="P43" s="9" t="str">
        <f t="shared" si="27"/>
        <v/>
      </c>
      <c r="Q43" s="9" t="str">
        <f t="shared" si="27"/>
        <v/>
      </c>
      <c r="R43" s="9">
        <f t="shared" si="27"/>
        <v>-200</v>
      </c>
      <c r="S43" s="9" t="str">
        <f t="shared" si="27"/>
        <v/>
      </c>
      <c r="T43" s="9" t="str">
        <f t="shared" si="27"/>
        <v/>
      </c>
    </row>
    <row r="44" spans="1:182" s="4" customFormat="1" x14ac:dyDescent="0.45">
      <c r="A44" s="14" t="s">
        <v>50</v>
      </c>
      <c r="B44" s="39">
        <v>4</v>
      </c>
      <c r="C44"/>
      <c r="D44"/>
      <c r="E44"/>
      <c r="F44"/>
      <c r="G44"/>
      <c r="H44" s="6" t="s">
        <v>47</v>
      </c>
      <c r="I44" s="9" t="str">
        <f t="shared" ref="I44:T44" si="28">IF(I14=$B$65,$B$66,"")</f>
        <v/>
      </c>
      <c r="J44" s="9" t="str">
        <f t="shared" si="28"/>
        <v/>
      </c>
      <c r="K44" s="9" t="str">
        <f t="shared" si="28"/>
        <v/>
      </c>
      <c r="L44" s="9" t="str">
        <f t="shared" si="28"/>
        <v/>
      </c>
      <c r="M44" s="9" t="str">
        <f t="shared" si="28"/>
        <v/>
      </c>
      <c r="N44" s="9">
        <f t="shared" si="28"/>
        <v>270</v>
      </c>
      <c r="O44" s="9" t="str">
        <f t="shared" si="28"/>
        <v/>
      </c>
      <c r="P44" s="9" t="str">
        <f t="shared" si="28"/>
        <v/>
      </c>
      <c r="Q44" s="9" t="str">
        <f t="shared" si="28"/>
        <v/>
      </c>
      <c r="R44" s="9" t="str">
        <f t="shared" si="28"/>
        <v/>
      </c>
      <c r="S44" s="9" t="str">
        <f t="shared" si="28"/>
        <v/>
      </c>
      <c r="T44" s="9" t="str">
        <f t="shared" si="28"/>
        <v/>
      </c>
      <c r="U44"/>
      <c r="V44"/>
      <c r="W44"/>
      <c r="X44"/>
      <c r="Y44"/>
      <c r="Z44"/>
      <c r="AA44"/>
      <c r="AB44"/>
      <c r="AC44"/>
      <c r="AD44"/>
      <c r="AE44"/>
      <c r="AF44"/>
      <c r="AG44"/>
      <c r="AH44"/>
      <c r="AI44"/>
      <c r="AJ44"/>
      <c r="AK44"/>
      <c r="AL44"/>
      <c r="AM44"/>
      <c r="AN44"/>
      <c r="AO44"/>
      <c r="AP44"/>
      <c r="AQ44"/>
      <c r="AR44"/>
      <c r="AS44"/>
      <c r="AT44"/>
      <c r="AU44"/>
      <c r="AV44"/>
      <c r="AW44"/>
      <c r="AX44"/>
      <c r="AY44"/>
      <c r="AZ44"/>
      <c r="BA44"/>
      <c r="BB44"/>
      <c r="BC44"/>
      <c r="BD44"/>
      <c r="BE44"/>
      <c r="BF44"/>
      <c r="BG44"/>
      <c r="BH44"/>
      <c r="BI44"/>
      <c r="BJ44"/>
      <c r="BK44"/>
      <c r="BL44"/>
      <c r="BM44"/>
      <c r="BN44"/>
      <c r="BO44"/>
      <c r="BP44"/>
      <c r="BQ44"/>
      <c r="BR44"/>
      <c r="BS44"/>
      <c r="BT44"/>
      <c r="BU44"/>
      <c r="BV44"/>
      <c r="BW44"/>
      <c r="BX44"/>
      <c r="BY44"/>
      <c r="BZ44"/>
      <c r="CA44"/>
      <c r="CB44"/>
      <c r="CC44"/>
      <c r="CD44"/>
      <c r="CE44"/>
      <c r="CF44"/>
      <c r="CG44"/>
      <c r="CH44"/>
      <c r="CI44"/>
      <c r="CJ44"/>
      <c r="CK44"/>
      <c r="CL44"/>
      <c r="CM44"/>
      <c r="CN44"/>
      <c r="CO44"/>
      <c r="CP44"/>
      <c r="CQ44"/>
      <c r="CR44"/>
      <c r="CS44"/>
      <c r="CT44"/>
      <c r="CU44"/>
      <c r="CV44"/>
      <c r="CW44"/>
      <c r="CX44"/>
      <c r="CY44"/>
      <c r="CZ44"/>
      <c r="DA44"/>
      <c r="DB44"/>
      <c r="DC44"/>
      <c r="DD44"/>
      <c r="DE44"/>
      <c r="DF44"/>
      <c r="DG44"/>
      <c r="DH44"/>
      <c r="DI44"/>
      <c r="DJ44"/>
      <c r="DK44"/>
      <c r="DL44"/>
      <c r="DM44"/>
      <c r="DN44"/>
      <c r="DO44"/>
      <c r="DP44"/>
      <c r="DQ44"/>
      <c r="DR44"/>
      <c r="DS44"/>
      <c r="DT44"/>
      <c r="DU44"/>
      <c r="DV44"/>
      <c r="DW44"/>
      <c r="DX44"/>
      <c r="DY44"/>
      <c r="DZ44"/>
      <c r="EA44"/>
      <c r="EB44"/>
      <c r="EC44"/>
      <c r="ED44"/>
      <c r="EE44"/>
      <c r="EF44"/>
      <c r="EG44"/>
      <c r="EH44"/>
      <c r="EI44"/>
      <c r="EJ44"/>
      <c r="EK44"/>
      <c r="EL44"/>
      <c r="EM44"/>
      <c r="EN44"/>
      <c r="EO44"/>
      <c r="EP44"/>
      <c r="EQ44"/>
      <c r="ER44"/>
      <c r="ES44"/>
      <c r="ET44"/>
      <c r="EU44"/>
      <c r="EV44"/>
      <c r="EW44"/>
      <c r="EX44"/>
      <c r="EY44"/>
      <c r="EZ44"/>
      <c r="FA44"/>
      <c r="FB44"/>
      <c r="FC44"/>
      <c r="FD44"/>
      <c r="FE44"/>
      <c r="FF44"/>
      <c r="FG44"/>
      <c r="FH44"/>
      <c r="FI44"/>
      <c r="FJ44"/>
      <c r="FK44"/>
      <c r="FL44"/>
      <c r="FM44"/>
      <c r="FN44"/>
      <c r="FO44"/>
      <c r="FP44"/>
      <c r="FQ44"/>
      <c r="FR44"/>
      <c r="FS44"/>
      <c r="FT44"/>
      <c r="FU44"/>
      <c r="FV44"/>
      <c r="FW44"/>
      <c r="FX44"/>
      <c r="FY44"/>
      <c r="FZ44"/>
    </row>
    <row r="45" spans="1:182" ht="14.65" thickBot="1" x14ac:dyDescent="0.5">
      <c r="A45" s="15" t="s">
        <v>18</v>
      </c>
      <c r="B45" s="40">
        <v>-4000</v>
      </c>
      <c r="H45" s="36" t="s">
        <v>29</v>
      </c>
      <c r="I45" s="19">
        <f t="shared" ref="I45:T45" si="29">SUM(I16:I21,I23:I27,I29:I35,I37,I39:I44)</f>
        <v>-1251</v>
      </c>
      <c r="J45" s="19">
        <f t="shared" si="29"/>
        <v>-1251</v>
      </c>
      <c r="K45" s="19">
        <f t="shared" si="29"/>
        <v>-1951</v>
      </c>
      <c r="L45" s="19">
        <f t="shared" si="29"/>
        <v>-851</v>
      </c>
      <c r="M45" s="19">
        <f t="shared" si="29"/>
        <v>748</v>
      </c>
      <c r="N45" s="19">
        <f t="shared" si="29"/>
        <v>918</v>
      </c>
      <c r="O45" s="19">
        <f t="shared" si="29"/>
        <v>748</v>
      </c>
      <c r="P45" s="19">
        <f t="shared" si="29"/>
        <v>748</v>
      </c>
      <c r="Q45" s="19">
        <f t="shared" si="29"/>
        <v>648</v>
      </c>
      <c r="R45" s="19">
        <f t="shared" si="29"/>
        <v>108</v>
      </c>
      <c r="S45" s="19">
        <f t="shared" si="29"/>
        <v>748</v>
      </c>
      <c r="T45" s="19">
        <f t="shared" si="29"/>
        <v>648</v>
      </c>
    </row>
    <row r="46" spans="1:182" ht="14.65" thickBot="1" x14ac:dyDescent="0.5"/>
    <row r="47" spans="1:182" x14ac:dyDescent="0.45">
      <c r="A47" s="13" t="s">
        <v>39</v>
      </c>
      <c r="B47" s="16" t="s">
        <v>0</v>
      </c>
    </row>
    <row r="48" spans="1:182" ht="14.65" thickBot="1" x14ac:dyDescent="0.5">
      <c r="A48" s="14" t="s">
        <v>19</v>
      </c>
      <c r="B48" s="39">
        <v>-10</v>
      </c>
      <c r="H48" s="25" t="s">
        <v>25</v>
      </c>
    </row>
    <row r="49" spans="1:21" ht="14.65" thickBot="1" x14ac:dyDescent="0.5">
      <c r="H49" s="26" t="s">
        <v>26</v>
      </c>
      <c r="I49" s="55">
        <f>B68</f>
        <v>2300</v>
      </c>
      <c r="J49" s="27"/>
      <c r="K49" s="27"/>
      <c r="L49" s="27"/>
      <c r="M49" s="27"/>
      <c r="N49" s="27"/>
      <c r="O49" s="27"/>
      <c r="P49" s="27"/>
      <c r="Q49" s="27"/>
      <c r="R49" s="27"/>
      <c r="S49" s="27"/>
      <c r="T49" s="27"/>
      <c r="U49" s="28"/>
    </row>
    <row r="50" spans="1:21" x14ac:dyDescent="0.45">
      <c r="A50" s="13" t="s">
        <v>40</v>
      </c>
      <c r="B50" s="43" t="s">
        <v>0</v>
      </c>
      <c r="H50" s="29" t="s">
        <v>49</v>
      </c>
      <c r="I50">
        <f>$I$49+SUM($I$45:I45)</f>
        <v>1049</v>
      </c>
      <c r="J50">
        <f>$I$49+SUM($I$45:J45)</f>
        <v>-202</v>
      </c>
      <c r="K50">
        <f>$I$49+SUM($I$45:K45)</f>
        <v>-2153</v>
      </c>
      <c r="L50">
        <f>$I$49+SUM($I$45:L45)</f>
        <v>-3004</v>
      </c>
      <c r="M50">
        <f>$I$49+SUM($I$45:M45)</f>
        <v>-2256</v>
      </c>
      <c r="N50">
        <f>$I$49+SUM($I$45:N45)</f>
        <v>-1338</v>
      </c>
      <c r="O50">
        <f>$I$49+SUM($I$45:O45)</f>
        <v>-590</v>
      </c>
      <c r="P50">
        <f>$I$49+SUM($I$45:P45)</f>
        <v>158</v>
      </c>
      <c r="Q50">
        <f>$I$49+SUM($I$45:Q45)</f>
        <v>806</v>
      </c>
      <c r="R50">
        <f>$I$49+SUM($I$45:R45)</f>
        <v>914</v>
      </c>
      <c r="S50">
        <f>$I$49+SUM($I$45:S45)</f>
        <v>1662</v>
      </c>
      <c r="T50">
        <f>$I$49+SUM($I$44:T44)</f>
        <v>2570</v>
      </c>
      <c r="U50" s="30"/>
    </row>
    <row r="51" spans="1:21" ht="14.65" thickBot="1" x14ac:dyDescent="0.5">
      <c r="A51" s="20" t="s">
        <v>20</v>
      </c>
      <c r="B51" s="40">
        <v>-55</v>
      </c>
      <c r="H51" s="29" t="s">
        <v>27</v>
      </c>
      <c r="I51">
        <f>IF((I45+I49)&lt;0,-SUM(I45,I49),0)</f>
        <v>0</v>
      </c>
      <c r="J51">
        <f>IF((J45+I50)&lt;0,-SUM(J45,I50),0)</f>
        <v>202</v>
      </c>
      <c r="K51">
        <f t="shared" ref="K51:R51" si="30">IF((K45+J50)&lt;0,-SUM(K45,J50),0)</f>
        <v>2153</v>
      </c>
      <c r="L51">
        <f t="shared" si="30"/>
        <v>3004</v>
      </c>
      <c r="M51">
        <f t="shared" si="30"/>
        <v>2256</v>
      </c>
      <c r="N51">
        <f t="shared" si="30"/>
        <v>1338</v>
      </c>
      <c r="O51">
        <f t="shared" si="30"/>
        <v>590</v>
      </c>
      <c r="P51">
        <f t="shared" si="30"/>
        <v>0</v>
      </c>
      <c r="Q51">
        <f t="shared" si="30"/>
        <v>0</v>
      </c>
      <c r="R51">
        <f t="shared" si="30"/>
        <v>0</v>
      </c>
      <c r="S51">
        <f t="shared" ref="S51:T51" si="31">IF((S45+R50)&lt;0,-SUM(S45,R50),0)</f>
        <v>0</v>
      </c>
      <c r="T51">
        <f t="shared" si="31"/>
        <v>0</v>
      </c>
      <c r="U51" s="30">
        <f>SUM(I51:T51)</f>
        <v>9543</v>
      </c>
    </row>
    <row r="52" spans="1:21" ht="14.65" thickBot="1" x14ac:dyDescent="0.5">
      <c r="H52" s="31" t="s">
        <v>28</v>
      </c>
      <c r="I52" s="32">
        <f>I50+SUM($I$51:I51)</f>
        <v>1049</v>
      </c>
      <c r="J52" s="32">
        <f>J50+SUM($I$51:J51)</f>
        <v>0</v>
      </c>
      <c r="K52" s="32">
        <f>K50+SUM($I$51:K51)</f>
        <v>202</v>
      </c>
      <c r="L52" s="32">
        <f>L50+SUM($I$51:L51)</f>
        <v>2355</v>
      </c>
      <c r="M52" s="32">
        <f>M50+SUM($I$51:M51)</f>
        <v>5359</v>
      </c>
      <c r="N52" s="32">
        <f>N50+SUM($I$51:N51)</f>
        <v>7615</v>
      </c>
      <c r="O52" s="32">
        <f>O50+SUM($I$51:O51)</f>
        <v>8953</v>
      </c>
      <c r="P52" s="32">
        <f>P50+SUM($I$51:P51)</f>
        <v>9701</v>
      </c>
      <c r="Q52" s="32">
        <f>Q50+SUM($I$51:Q51)</f>
        <v>10349</v>
      </c>
      <c r="R52" s="32">
        <f>R50+SUM($I$51:R51)</f>
        <v>10457</v>
      </c>
      <c r="S52" s="32">
        <f>S50+SUM($I$51:S51)</f>
        <v>11205</v>
      </c>
      <c r="T52" s="32">
        <f>T50+SUM($I$51:T51)</f>
        <v>12113</v>
      </c>
      <c r="U52" s="33"/>
    </row>
    <row r="53" spans="1:21" x14ac:dyDescent="0.45">
      <c r="A53" s="21" t="s">
        <v>38</v>
      </c>
      <c r="B53" s="43" t="s">
        <v>2</v>
      </c>
    </row>
    <row r="54" spans="1:21" ht="14.65" thickBot="1" x14ac:dyDescent="0.5">
      <c r="A54" s="20" t="s">
        <v>21</v>
      </c>
      <c r="B54" s="40">
        <v>-300</v>
      </c>
    </row>
    <row r="55" spans="1:21" ht="14.65" thickBot="1" x14ac:dyDescent="0.5"/>
    <row r="56" spans="1:21" x14ac:dyDescent="0.45">
      <c r="A56" s="21" t="s">
        <v>42</v>
      </c>
      <c r="B56" s="43" t="s">
        <v>9</v>
      </c>
    </row>
    <row r="57" spans="1:21" ht="14.65" thickBot="1" x14ac:dyDescent="0.5">
      <c r="A57" s="20" t="s">
        <v>22</v>
      </c>
      <c r="B57" s="40">
        <v>-440</v>
      </c>
    </row>
    <row r="58" spans="1:21" ht="14.65" thickBot="1" x14ac:dyDescent="0.5"/>
    <row r="59" spans="1:21" ht="14.65" thickBot="1" x14ac:dyDescent="0.5">
      <c r="A59" s="23" t="s">
        <v>23</v>
      </c>
      <c r="B59" s="44">
        <v>-100</v>
      </c>
    </row>
    <row r="61" spans="1:21" ht="14.65" thickBot="1" x14ac:dyDescent="0.5"/>
    <row r="62" spans="1:21" x14ac:dyDescent="0.45">
      <c r="A62" s="21" t="s">
        <v>43</v>
      </c>
      <c r="B62" s="43" t="s">
        <v>9</v>
      </c>
    </row>
    <row r="63" spans="1:21" ht="14.65" thickBot="1" x14ac:dyDescent="0.5">
      <c r="A63" s="20" t="s">
        <v>24</v>
      </c>
      <c r="B63" s="40">
        <v>-200</v>
      </c>
      <c r="G63" s="68"/>
    </row>
    <row r="64" spans="1:21" ht="14.65" thickBot="1" x14ac:dyDescent="0.5">
      <c r="G64" s="68"/>
    </row>
    <row r="65" spans="1:21" x14ac:dyDescent="0.45">
      <c r="A65" s="24" t="s">
        <v>44</v>
      </c>
      <c r="B65" s="16" t="s">
        <v>5</v>
      </c>
      <c r="G65" s="68"/>
    </row>
    <row r="66" spans="1:21" ht="14.65" thickBot="1" x14ac:dyDescent="0.5">
      <c r="A66" s="15" t="s">
        <v>45</v>
      </c>
      <c r="B66" s="40">
        <v>270</v>
      </c>
    </row>
    <row r="67" spans="1:21" ht="14.65" thickBot="1" x14ac:dyDescent="0.5"/>
    <row r="68" spans="1:21" ht="14.65" thickBot="1" x14ac:dyDescent="0.5">
      <c r="A68" s="56" t="s">
        <v>26</v>
      </c>
      <c r="B68" s="44">
        <v>2300</v>
      </c>
    </row>
    <row r="71" spans="1:21" x14ac:dyDescent="0.45">
      <c r="I71" s="80"/>
      <c r="J71" s="80"/>
      <c r="K71" s="80"/>
      <c r="L71" s="80"/>
      <c r="M71" s="80"/>
      <c r="N71" s="80"/>
    </row>
    <row r="72" spans="1:21" ht="18" x14ac:dyDescent="0.55000000000000004">
      <c r="C72" t="s">
        <v>94</v>
      </c>
      <c r="F72" t="s">
        <v>95</v>
      </c>
      <c r="I72" s="81" t="s">
        <v>130</v>
      </c>
      <c r="J72" s="81"/>
      <c r="K72" s="81"/>
      <c r="L72" s="81"/>
      <c r="M72" s="81"/>
      <c r="N72" s="81"/>
      <c r="O72" s="81"/>
      <c r="P72" s="81"/>
      <c r="Q72" s="81"/>
      <c r="R72" s="81"/>
      <c r="S72" s="81"/>
      <c r="T72" s="81"/>
      <c r="U72" s="81"/>
    </row>
    <row r="73" spans="1:21" x14ac:dyDescent="0.45">
      <c r="D73">
        <f>TOTAL_INSERTED</f>
        <v>9543</v>
      </c>
      <c r="G73">
        <f>TOTAL_INSERTED</f>
        <v>9543</v>
      </c>
      <c r="I73" s="2">
        <f>TOTAL_INSERTED</f>
        <v>9543</v>
      </c>
      <c r="J73" s="2" t="s">
        <v>129</v>
      </c>
      <c r="K73" s="2" t="s">
        <v>1</v>
      </c>
      <c r="L73" s="2" t="s">
        <v>2</v>
      </c>
      <c r="M73" s="2" t="s">
        <v>3</v>
      </c>
      <c r="N73" s="2" t="s">
        <v>4</v>
      </c>
      <c r="O73" s="2" t="s">
        <v>5</v>
      </c>
      <c r="P73" s="2" t="s">
        <v>6</v>
      </c>
      <c r="Q73" s="2" t="s">
        <v>7</v>
      </c>
      <c r="R73" s="2" t="s">
        <v>8</v>
      </c>
      <c r="S73" s="2" t="s">
        <v>9</v>
      </c>
      <c r="T73" s="2" t="s">
        <v>10</v>
      </c>
      <c r="U73" s="2" t="s">
        <v>11</v>
      </c>
    </row>
    <row r="74" spans="1:21" x14ac:dyDescent="0.45">
      <c r="C74" s="68">
        <v>0</v>
      </c>
      <c r="D74">
        <f t="dataTable" ref="D74:D89" dt2D="0" dtr="0" r1="D16" ca="1"/>
        <v>9543</v>
      </c>
      <c r="F74" t="s">
        <v>0</v>
      </c>
      <c r="G74">
        <f t="dataTable" ref="G74:G85" dt2D="0" dtr="0" r1="B23"/>
        <v>10243</v>
      </c>
      <c r="I74" s="74">
        <v>0</v>
      </c>
      <c r="J74">
        <f t="dataTable" ref="J74:U89" dt2D="1" dtr="1" r1="B23" r2="D16" ca="1"/>
        <v>6153</v>
      </c>
      <c r="K74">
        <v>10243</v>
      </c>
      <c r="L74">
        <v>9543</v>
      </c>
      <c r="M74">
        <v>8843</v>
      </c>
      <c r="N74">
        <v>8143</v>
      </c>
      <c r="O74">
        <v>7443</v>
      </c>
      <c r="P74">
        <v>6743</v>
      </c>
      <c r="Q74">
        <v>6153</v>
      </c>
      <c r="R74">
        <v>6153</v>
      </c>
      <c r="S74">
        <v>6153</v>
      </c>
      <c r="T74">
        <v>6153</v>
      </c>
      <c r="U74">
        <v>6153</v>
      </c>
    </row>
    <row r="75" spans="1:21" x14ac:dyDescent="0.45">
      <c r="C75" s="68">
        <v>0.1</v>
      </c>
      <c r="D75">
        <v>8611.5</v>
      </c>
      <c r="F75" t="s">
        <v>1</v>
      </c>
      <c r="G75">
        <v>10243</v>
      </c>
      <c r="I75" s="74">
        <v>0.1</v>
      </c>
      <c r="J75">
        <v>5463</v>
      </c>
      <c r="K75">
        <v>9311.5</v>
      </c>
      <c r="L75">
        <v>8611.5</v>
      </c>
      <c r="M75">
        <v>7911.5</v>
      </c>
      <c r="N75">
        <v>7211.5</v>
      </c>
      <c r="O75">
        <v>6511.5</v>
      </c>
      <c r="P75">
        <v>5811.5</v>
      </c>
      <c r="Q75">
        <v>5463</v>
      </c>
      <c r="R75">
        <v>5463</v>
      </c>
      <c r="S75">
        <v>5463</v>
      </c>
      <c r="T75">
        <v>5463</v>
      </c>
      <c r="U75">
        <v>5463</v>
      </c>
    </row>
    <row r="76" spans="1:21" x14ac:dyDescent="0.45">
      <c r="C76" s="68">
        <v>0.2</v>
      </c>
      <c r="D76">
        <v>7680</v>
      </c>
      <c r="F76" t="s">
        <v>2</v>
      </c>
      <c r="G76">
        <v>9543</v>
      </c>
      <c r="I76" s="74">
        <v>0.2</v>
      </c>
      <c r="J76">
        <v>4773</v>
      </c>
      <c r="K76">
        <v>8380</v>
      </c>
      <c r="L76">
        <v>7680</v>
      </c>
      <c r="M76">
        <v>6980</v>
      </c>
      <c r="N76">
        <v>6280</v>
      </c>
      <c r="O76">
        <v>5580</v>
      </c>
      <c r="P76">
        <v>4880</v>
      </c>
      <c r="Q76">
        <v>4773</v>
      </c>
      <c r="R76">
        <v>4773</v>
      </c>
      <c r="S76">
        <v>4773</v>
      </c>
      <c r="T76">
        <v>4773</v>
      </c>
      <c r="U76">
        <v>4773</v>
      </c>
    </row>
    <row r="77" spans="1:21" x14ac:dyDescent="0.45">
      <c r="C77" s="68">
        <v>0.3</v>
      </c>
      <c r="D77">
        <v>6888</v>
      </c>
      <c r="F77" t="s">
        <v>3</v>
      </c>
      <c r="G77">
        <v>8843</v>
      </c>
      <c r="I77" s="74">
        <v>0.3</v>
      </c>
      <c r="J77">
        <v>4088</v>
      </c>
      <c r="K77">
        <v>7583</v>
      </c>
      <c r="L77">
        <v>6888</v>
      </c>
      <c r="M77">
        <v>6188</v>
      </c>
      <c r="N77">
        <v>5488</v>
      </c>
      <c r="O77">
        <v>4788</v>
      </c>
      <c r="P77">
        <v>4088</v>
      </c>
      <c r="Q77">
        <v>4088</v>
      </c>
      <c r="R77">
        <v>4088</v>
      </c>
      <c r="S77">
        <v>4088</v>
      </c>
      <c r="T77">
        <v>4088</v>
      </c>
      <c r="U77">
        <v>4088</v>
      </c>
    </row>
    <row r="78" spans="1:21" x14ac:dyDescent="0.45">
      <c r="C78" s="68">
        <v>0.4</v>
      </c>
      <c r="D78">
        <v>6267</v>
      </c>
      <c r="F78" t="s">
        <v>4</v>
      </c>
      <c r="G78">
        <v>8143</v>
      </c>
      <c r="I78" s="74">
        <v>0.4</v>
      </c>
      <c r="J78">
        <v>3657</v>
      </c>
      <c r="K78">
        <v>6893</v>
      </c>
      <c r="L78">
        <v>6267</v>
      </c>
      <c r="M78">
        <v>5567</v>
      </c>
      <c r="N78">
        <v>4867</v>
      </c>
      <c r="O78">
        <v>4167</v>
      </c>
      <c r="P78">
        <v>3657</v>
      </c>
      <c r="Q78">
        <v>3657</v>
      </c>
      <c r="R78">
        <v>3657</v>
      </c>
      <c r="S78">
        <v>3657</v>
      </c>
      <c r="T78">
        <v>3657</v>
      </c>
      <c r="U78">
        <v>3657</v>
      </c>
    </row>
    <row r="79" spans="1:21" x14ac:dyDescent="0.45">
      <c r="C79" s="68">
        <v>0.5</v>
      </c>
      <c r="D79">
        <v>5646</v>
      </c>
      <c r="F79" t="s">
        <v>5</v>
      </c>
      <c r="G79">
        <v>7443</v>
      </c>
      <c r="I79" s="74">
        <v>0.5</v>
      </c>
      <c r="J79">
        <v>3243</v>
      </c>
      <c r="K79">
        <v>6203</v>
      </c>
      <c r="L79">
        <v>5646</v>
      </c>
      <c r="M79">
        <v>4946</v>
      </c>
      <c r="N79">
        <v>4246</v>
      </c>
      <c r="O79">
        <v>3546</v>
      </c>
      <c r="P79">
        <v>3243</v>
      </c>
      <c r="Q79">
        <v>3243</v>
      </c>
      <c r="R79">
        <v>3243</v>
      </c>
      <c r="S79">
        <v>3243</v>
      </c>
      <c r="T79">
        <v>3243</v>
      </c>
      <c r="U79">
        <v>3243</v>
      </c>
    </row>
    <row r="80" spans="1:21" x14ac:dyDescent="0.45">
      <c r="C80" s="68">
        <v>0.6</v>
      </c>
      <c r="D80">
        <v>5025</v>
      </c>
      <c r="F80" t="s">
        <v>6</v>
      </c>
      <c r="G80">
        <v>6743</v>
      </c>
      <c r="I80" s="74">
        <v>0.6</v>
      </c>
      <c r="J80">
        <v>2829</v>
      </c>
      <c r="K80">
        <v>5513</v>
      </c>
      <c r="L80">
        <v>5025</v>
      </c>
      <c r="M80">
        <v>4325</v>
      </c>
      <c r="N80">
        <v>3625</v>
      </c>
      <c r="O80">
        <v>2925</v>
      </c>
      <c r="P80">
        <v>2829</v>
      </c>
      <c r="Q80">
        <v>2829</v>
      </c>
      <c r="R80">
        <v>2829</v>
      </c>
      <c r="S80">
        <v>2829</v>
      </c>
      <c r="T80">
        <v>2829</v>
      </c>
      <c r="U80">
        <v>2829</v>
      </c>
    </row>
    <row r="81" spans="3:21" x14ac:dyDescent="0.45">
      <c r="C81" s="68">
        <v>0.7</v>
      </c>
      <c r="D81">
        <v>4515</v>
      </c>
      <c r="F81" t="s">
        <v>7</v>
      </c>
      <c r="G81">
        <v>6153</v>
      </c>
      <c r="I81" s="74">
        <v>0.7</v>
      </c>
      <c r="J81">
        <v>2415</v>
      </c>
      <c r="K81">
        <v>4934</v>
      </c>
      <c r="L81">
        <v>4515</v>
      </c>
      <c r="M81">
        <v>3815</v>
      </c>
      <c r="N81">
        <v>3115</v>
      </c>
      <c r="O81">
        <v>2415</v>
      </c>
      <c r="P81">
        <v>2415</v>
      </c>
      <c r="Q81">
        <v>2415</v>
      </c>
      <c r="R81">
        <v>2415</v>
      </c>
      <c r="S81">
        <v>2415</v>
      </c>
      <c r="T81">
        <v>2415</v>
      </c>
      <c r="U81">
        <v>2415</v>
      </c>
    </row>
    <row r="82" spans="3:21" x14ac:dyDescent="0.45">
      <c r="C82" s="68">
        <v>0.8</v>
      </c>
      <c r="D82">
        <v>4101</v>
      </c>
      <c r="F82" t="s">
        <v>8</v>
      </c>
      <c r="G82">
        <v>6153</v>
      </c>
      <c r="I82" s="74">
        <v>0.8</v>
      </c>
      <c r="J82">
        <v>2001</v>
      </c>
      <c r="K82">
        <v>4451</v>
      </c>
      <c r="L82">
        <v>4101</v>
      </c>
      <c r="M82">
        <v>3401</v>
      </c>
      <c r="N82">
        <v>2701</v>
      </c>
      <c r="O82">
        <v>2001</v>
      </c>
      <c r="P82">
        <v>2001</v>
      </c>
      <c r="Q82">
        <v>2001</v>
      </c>
      <c r="R82">
        <v>2001</v>
      </c>
      <c r="S82">
        <v>2001</v>
      </c>
      <c r="T82">
        <v>2001</v>
      </c>
      <c r="U82">
        <v>2001</v>
      </c>
    </row>
    <row r="83" spans="3:21" x14ac:dyDescent="0.45">
      <c r="C83" s="68">
        <v>0.9</v>
      </c>
      <c r="D83">
        <v>3687</v>
      </c>
      <c r="F83" t="s">
        <v>9</v>
      </c>
      <c r="G83">
        <v>6153</v>
      </c>
      <c r="I83" s="74">
        <v>0.9</v>
      </c>
      <c r="J83">
        <v>1587</v>
      </c>
      <c r="K83">
        <v>3968</v>
      </c>
      <c r="L83">
        <v>3687</v>
      </c>
      <c r="M83">
        <v>2987</v>
      </c>
      <c r="N83">
        <v>2287</v>
      </c>
      <c r="O83">
        <v>1587</v>
      </c>
      <c r="P83">
        <v>1587</v>
      </c>
      <c r="Q83">
        <v>1587</v>
      </c>
      <c r="R83">
        <v>1587</v>
      </c>
      <c r="S83">
        <v>1587</v>
      </c>
      <c r="T83">
        <v>1587</v>
      </c>
      <c r="U83">
        <v>1587</v>
      </c>
    </row>
    <row r="84" spans="3:21" x14ac:dyDescent="0.45">
      <c r="C84" s="68">
        <v>1</v>
      </c>
      <c r="D84">
        <v>3273</v>
      </c>
      <c r="F84" t="s">
        <v>10</v>
      </c>
      <c r="G84">
        <v>6153</v>
      </c>
      <c r="I84" s="74">
        <v>1</v>
      </c>
      <c r="J84">
        <v>1342</v>
      </c>
      <c r="K84">
        <v>3485</v>
      </c>
      <c r="L84">
        <v>3273</v>
      </c>
      <c r="M84">
        <v>2573</v>
      </c>
      <c r="N84">
        <v>1873</v>
      </c>
      <c r="O84">
        <v>1342</v>
      </c>
      <c r="P84">
        <v>1342</v>
      </c>
      <c r="Q84">
        <v>1342</v>
      </c>
      <c r="R84">
        <v>1342</v>
      </c>
      <c r="S84">
        <v>1342</v>
      </c>
      <c r="T84">
        <v>1342</v>
      </c>
      <c r="U84">
        <v>1342</v>
      </c>
    </row>
    <row r="85" spans="3:21" x14ac:dyDescent="0.45">
      <c r="C85" s="68">
        <v>1.1000000000000001</v>
      </c>
      <c r="D85">
        <v>2859</v>
      </c>
      <c r="F85" t="s">
        <v>11</v>
      </c>
      <c r="G85">
        <v>6153</v>
      </c>
      <c r="I85" s="74">
        <v>1.1000000000000001</v>
      </c>
      <c r="J85">
        <v>1100.5</v>
      </c>
      <c r="K85">
        <v>3002</v>
      </c>
      <c r="L85">
        <v>2859</v>
      </c>
      <c r="M85">
        <v>2159</v>
      </c>
      <c r="N85">
        <v>1459</v>
      </c>
      <c r="O85">
        <v>1100.5</v>
      </c>
      <c r="P85">
        <v>1100.5</v>
      </c>
      <c r="Q85">
        <v>1100.5</v>
      </c>
      <c r="R85">
        <v>1100.5</v>
      </c>
      <c r="S85">
        <v>1100.5</v>
      </c>
      <c r="T85">
        <v>1100.5</v>
      </c>
      <c r="U85">
        <v>1100.5</v>
      </c>
    </row>
    <row r="86" spans="3:21" x14ac:dyDescent="0.45">
      <c r="C86" s="68">
        <v>1.2</v>
      </c>
      <c r="D86">
        <v>2445</v>
      </c>
      <c r="I86" s="74">
        <v>1.2</v>
      </c>
      <c r="J86">
        <v>859</v>
      </c>
      <c r="K86">
        <v>2519</v>
      </c>
      <c r="L86">
        <v>2445</v>
      </c>
      <c r="M86">
        <v>1745</v>
      </c>
      <c r="N86">
        <v>1045</v>
      </c>
      <c r="O86">
        <v>859</v>
      </c>
      <c r="P86">
        <v>859</v>
      </c>
      <c r="Q86">
        <v>859</v>
      </c>
      <c r="R86">
        <v>859</v>
      </c>
      <c r="S86">
        <v>859</v>
      </c>
      <c r="T86">
        <v>859</v>
      </c>
      <c r="U86">
        <v>859</v>
      </c>
    </row>
    <row r="87" spans="3:21" x14ac:dyDescent="0.45">
      <c r="C87" s="68">
        <v>1.3</v>
      </c>
      <c r="D87">
        <v>2031</v>
      </c>
      <c r="I87" s="74">
        <v>1.3</v>
      </c>
      <c r="J87">
        <v>617.5</v>
      </c>
      <c r="K87">
        <v>2036</v>
      </c>
      <c r="L87">
        <v>2031</v>
      </c>
      <c r="M87">
        <v>1331</v>
      </c>
      <c r="N87">
        <v>631</v>
      </c>
      <c r="O87">
        <v>617.5</v>
      </c>
      <c r="P87">
        <v>617.5</v>
      </c>
      <c r="Q87">
        <v>617.5</v>
      </c>
      <c r="R87">
        <v>617.5</v>
      </c>
      <c r="S87">
        <v>617.5</v>
      </c>
      <c r="T87">
        <v>617.5</v>
      </c>
      <c r="U87">
        <v>617.5</v>
      </c>
    </row>
    <row r="88" spans="3:21" x14ac:dyDescent="0.45">
      <c r="C88" s="68">
        <v>1.4</v>
      </c>
      <c r="D88">
        <v>1776</v>
      </c>
      <c r="I88" s="74">
        <v>1.4</v>
      </c>
      <c r="J88">
        <v>376</v>
      </c>
      <c r="K88">
        <v>1776</v>
      </c>
      <c r="L88">
        <v>1776</v>
      </c>
      <c r="M88">
        <v>1076</v>
      </c>
      <c r="N88">
        <v>376</v>
      </c>
      <c r="O88">
        <v>376</v>
      </c>
      <c r="P88">
        <v>376</v>
      </c>
      <c r="Q88">
        <v>376</v>
      </c>
      <c r="R88">
        <v>376</v>
      </c>
      <c r="S88">
        <v>376</v>
      </c>
      <c r="T88">
        <v>376</v>
      </c>
      <c r="U88">
        <v>376</v>
      </c>
    </row>
    <row r="89" spans="3:21" x14ac:dyDescent="0.45">
      <c r="C89" s="68">
        <v>1.5</v>
      </c>
      <c r="D89">
        <v>1534.5</v>
      </c>
      <c r="I89" s="74">
        <v>1.5</v>
      </c>
      <c r="J89">
        <v>234</v>
      </c>
      <c r="K89">
        <v>1534.5</v>
      </c>
      <c r="L89">
        <v>1534.5</v>
      </c>
      <c r="M89">
        <v>934</v>
      </c>
      <c r="N89">
        <v>234</v>
      </c>
      <c r="O89">
        <v>234</v>
      </c>
      <c r="P89">
        <v>234</v>
      </c>
      <c r="Q89">
        <v>234</v>
      </c>
      <c r="R89">
        <v>234</v>
      </c>
      <c r="S89">
        <v>234</v>
      </c>
      <c r="T89">
        <v>234</v>
      </c>
      <c r="U89">
        <v>234</v>
      </c>
    </row>
  </sheetData>
  <scenarios current="0" show="0" sqref="S51">
    <scenario name="PESSIMISTIC" locked="1" count="6" user="Rafay Zeeshan" comment="Created by Rafay Zeeshan on 3/2/2023">
      <inputCells r="B15" val="February"/>
      <inputCells r="B16" val="300"/>
      <inputCells r="B27" val="April"/>
      <inputCells r="B28" val="440"/>
      <inputCells r="B36" val="June"/>
      <inputCells r="B37" val="600"/>
    </scenario>
    <scenario name="REALISTIC" locked="1" count="15" user="Rafay Zeeshan" comment="Created by Rafay Zeeshan on 3/2/2023">
      <inputCells r="B15" val="January"/>
      <inputCells r="B16" val="345"/>
      <inputCells r="B23" val="March"/>
      <inputCells r="B24" val="-800"/>
      <inputCells r="B27" val="March"/>
      <inputCells r="B28" val="440"/>
      <inputCells r="B36" val="May"/>
      <inputCells r="B37" val="650"/>
      <inputCells r="B43" val="January"/>
      <inputCells r="B44" val="4"/>
      <inputCells r="B45" val="-4000"/>
      <inputCells r="B56" val="December"/>
      <inputCells r="B57" val="-500"/>
      <inputCells r="B65" val="January"/>
      <inputCells r="B66" val="270"/>
    </scenario>
    <scenario name="OPTIMISTIC" locked="1" count="15" user="Rafay Zeeshan" comment="Created by Rafay Zeeshan on 3/2/2023">
      <inputCells r="B15" val="January"/>
      <inputCells r="B16" val="360"/>
      <inputCells r="B23" val="April"/>
      <inputCells r="B24" val="-700"/>
      <inputCells r="B27" val="February"/>
      <inputCells r="B28" val="480"/>
      <inputCells r="B36" val="April"/>
      <inputCells r="B37" val="650"/>
      <inputCells r="B43" val="January"/>
      <inputCells r="B44" val="4"/>
      <inputCells r="B45" val="-4000"/>
      <inputCells r="B56" val="December"/>
      <inputCells r="B57" val="-420"/>
      <inputCells r="B65" val="March"/>
      <inputCells r="B66" val="270"/>
    </scenario>
  </scenarios>
  <mergeCells count="2">
    <mergeCell ref="I71:N71"/>
    <mergeCell ref="I72:U72"/>
  </mergeCells>
  <phoneticPr fontId="2" type="noConversion"/>
  <conditionalFormatting sqref="U22 I55:U55 I37:T37 I39:T44 I23:U25 I26:T27 U26:U45 I16:U21 I29:T33 I48:U52 I35:T35">
    <cfRule type="cellIs" dxfId="7" priority="7" operator="lessThan">
      <formula>0</formula>
    </cfRule>
    <cfRule type="cellIs" dxfId="6" priority="8" operator="greaterThan">
      <formula>0</formula>
    </cfRule>
  </conditionalFormatting>
  <conditionalFormatting sqref="I45:T45">
    <cfRule type="cellIs" dxfId="5" priority="5" operator="lessThan">
      <formula>0</formula>
    </cfRule>
    <cfRule type="cellIs" dxfId="4" priority="6" operator="greaterThan">
      <formula>0</formula>
    </cfRule>
  </conditionalFormatting>
  <conditionalFormatting sqref="J74:U89">
    <cfRule type="colorScale" priority="3">
      <colorScale>
        <cfvo type="min"/>
        <cfvo type="max"/>
        <color rgb="FFFCFCFF"/>
        <color rgb="FFF8696B"/>
      </colorScale>
    </cfRule>
  </conditionalFormatting>
  <conditionalFormatting sqref="F74:G85 F73">
    <cfRule type="colorScale" priority="2">
      <colorScale>
        <cfvo type="min"/>
        <cfvo type="max"/>
        <color rgb="FFFCFCFF"/>
        <color rgb="FFF8696B"/>
      </colorScale>
    </cfRule>
  </conditionalFormatting>
  <conditionalFormatting sqref="C74:D89 C73">
    <cfRule type="colorScale" priority="1">
      <colorScale>
        <cfvo type="min"/>
        <cfvo type="max"/>
        <color rgb="FFFCFCFF"/>
        <color rgb="FFF8696B"/>
      </colorScale>
    </cfRule>
  </conditionalFormatting>
  <dataValidations count="1">
    <dataValidation type="list" allowBlank="1" showInputMessage="1" showErrorMessage="1" sqref="B23 B15 B27 B36 B47 B50 B53 B56 B62 B65 B43" xr:uid="{387EFBEB-1C81-43F7-84B5-A6171840F570}">
      <formula1>$B$2:$B$13</formula1>
    </dataValidation>
  </dataValidations>
  <pageMargins left="0.7" right="0.7" top="0.75" bottom="0.75" header="0.3" footer="0.3"/>
  <pageSetup orientation="portrait"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3703B8-F4E7-4BEF-8954-BE7639E61B61}">
  <sheetPr codeName="Sheet1"/>
  <dimension ref="A1:FX68"/>
  <sheetViews>
    <sheetView topLeftCell="A43" zoomScale="55" zoomScaleNormal="55" workbookViewId="0">
      <selection activeCell="E62" sqref="E62"/>
    </sheetView>
  </sheetViews>
  <sheetFormatPr defaultRowHeight="14.25" x14ac:dyDescent="0.45"/>
  <cols>
    <col min="1" max="1" width="35.265625" customWidth="1"/>
    <col min="2" max="2" width="13.6640625" style="37" bestFit="1" customWidth="1"/>
    <col min="3" max="3" width="9.06640625" customWidth="1"/>
    <col min="6" max="6" width="23.46484375" style="5" customWidth="1"/>
    <col min="7" max="7" width="11.9296875" bestFit="1" customWidth="1"/>
    <col min="8" max="8" width="13.1328125" customWidth="1"/>
    <col min="9" max="9" width="9.3984375" customWidth="1"/>
    <col min="10" max="10" width="14.53125" customWidth="1"/>
    <col min="11" max="11" width="10.3984375" customWidth="1"/>
    <col min="12" max="12" width="10.1328125" customWidth="1"/>
    <col min="13" max="14" width="10.265625" customWidth="1"/>
    <col min="15" max="15" width="11.86328125" customWidth="1"/>
    <col min="16" max="17" width="10.59765625" customWidth="1"/>
    <col min="18" max="18" width="10.265625" customWidth="1"/>
    <col min="22" max="22" width="24.46484375" customWidth="1"/>
    <col min="23" max="23" width="21.59765625" bestFit="1" customWidth="1"/>
    <col min="24" max="24" width="22.265625" bestFit="1" customWidth="1"/>
    <col min="25" max="25" width="34" bestFit="1" customWidth="1"/>
  </cols>
  <sheetData>
    <row r="1" spans="1:180" ht="14.65" thickBot="1" x14ac:dyDescent="0.5">
      <c r="A1" s="10" t="s">
        <v>31</v>
      </c>
      <c r="B1" s="10" t="s">
        <v>36</v>
      </c>
    </row>
    <row r="2" spans="1:180" ht="18" x14ac:dyDescent="0.55000000000000004">
      <c r="A2" s="17">
        <v>1</v>
      </c>
      <c r="B2" s="10" t="s">
        <v>0</v>
      </c>
      <c r="D2" s="65" t="s">
        <v>90</v>
      </c>
      <c r="E2" s="27"/>
      <c r="F2" s="28"/>
    </row>
    <row r="3" spans="1:180" ht="23.65" thickBot="1" x14ac:dyDescent="0.75">
      <c r="A3" s="17">
        <v>2</v>
      </c>
      <c r="B3" s="10" t="s">
        <v>1</v>
      </c>
      <c r="D3" s="66"/>
      <c r="E3" s="64" t="s">
        <v>91</v>
      </c>
      <c r="F3" s="63" t="s">
        <v>92</v>
      </c>
    </row>
    <row r="4" spans="1:180" x14ac:dyDescent="0.45">
      <c r="A4" s="17">
        <v>3</v>
      </c>
      <c r="B4" s="10" t="s">
        <v>2</v>
      </c>
    </row>
    <row r="5" spans="1:180" x14ac:dyDescent="0.45">
      <c r="A5" s="17">
        <v>4</v>
      </c>
      <c r="B5" s="10" t="s">
        <v>3</v>
      </c>
    </row>
    <row r="6" spans="1:180" x14ac:dyDescent="0.45">
      <c r="A6" s="17">
        <v>5</v>
      </c>
      <c r="B6" s="10" t="s">
        <v>4</v>
      </c>
    </row>
    <row r="7" spans="1:180" x14ac:dyDescent="0.45">
      <c r="A7" s="17">
        <v>6</v>
      </c>
      <c r="B7" s="10" t="s">
        <v>5</v>
      </c>
    </row>
    <row r="8" spans="1:180" x14ac:dyDescent="0.45">
      <c r="A8" s="17">
        <v>7</v>
      </c>
      <c r="B8" s="10" t="s">
        <v>6</v>
      </c>
    </row>
    <row r="9" spans="1:180" x14ac:dyDescent="0.45">
      <c r="A9" s="17">
        <v>8</v>
      </c>
      <c r="B9" s="10" t="s">
        <v>7</v>
      </c>
    </row>
    <row r="10" spans="1:180" x14ac:dyDescent="0.45">
      <c r="A10" s="17">
        <v>9</v>
      </c>
      <c r="B10" s="10" t="s">
        <v>8</v>
      </c>
    </row>
    <row r="11" spans="1:180" x14ac:dyDescent="0.45">
      <c r="A11" s="17">
        <v>10</v>
      </c>
      <c r="B11" s="10" t="s">
        <v>9</v>
      </c>
    </row>
    <row r="12" spans="1:180" x14ac:dyDescent="0.45">
      <c r="A12" s="17">
        <v>11</v>
      </c>
      <c r="B12" s="10" t="s">
        <v>10</v>
      </c>
      <c r="F12"/>
      <c r="T12" s="22"/>
      <c r="U12" s="22"/>
    </row>
    <row r="13" spans="1:180" s="2" customFormat="1" x14ac:dyDescent="0.45">
      <c r="A13" s="17">
        <v>12</v>
      </c>
      <c r="B13" s="10" t="s">
        <v>11</v>
      </c>
      <c r="C13"/>
      <c r="D13"/>
      <c r="E13"/>
      <c r="F13" s="9" t="s">
        <v>37</v>
      </c>
      <c r="G13" s="17">
        <v>1</v>
      </c>
      <c r="H13" s="17">
        <v>2</v>
      </c>
      <c r="I13" s="17">
        <v>3</v>
      </c>
      <c r="J13" s="17">
        <v>4</v>
      </c>
      <c r="K13" s="17">
        <v>5</v>
      </c>
      <c r="L13" s="17">
        <v>6</v>
      </c>
      <c r="M13" s="17">
        <v>7</v>
      </c>
      <c r="N13" s="17">
        <v>8</v>
      </c>
      <c r="O13" s="17">
        <v>9</v>
      </c>
      <c r="P13" s="17">
        <v>10</v>
      </c>
      <c r="Q13" s="17">
        <v>11</v>
      </c>
      <c r="R13" s="17">
        <v>12</v>
      </c>
      <c r="S13"/>
      <c r="T13"/>
      <c r="U13" s="22"/>
      <c r="W13" s="22"/>
      <c r="X13" s="22"/>
      <c r="Y13" s="22"/>
      <c r="Z13"/>
      <c r="AA13"/>
      <c r="AB13"/>
      <c r="AC13"/>
      <c r="AD13"/>
      <c r="AE13"/>
      <c r="AF13"/>
      <c r="AG13"/>
      <c r="AH13"/>
      <c r="AI13"/>
      <c r="AJ13"/>
      <c r="AK13"/>
      <c r="AL13"/>
      <c r="AM13"/>
      <c r="AN13"/>
      <c r="AO13"/>
      <c r="AP13"/>
      <c r="AQ13"/>
      <c r="AR13"/>
      <c r="AS13"/>
      <c r="AT13"/>
      <c r="AU13"/>
      <c r="AV13"/>
      <c r="AW13"/>
      <c r="AX13"/>
      <c r="AY13"/>
      <c r="AZ13"/>
      <c r="BA13"/>
      <c r="BB13"/>
      <c r="BC13"/>
      <c r="BD13"/>
      <c r="BE13"/>
      <c r="BF13"/>
      <c r="BG13"/>
      <c r="BH13"/>
      <c r="BI13"/>
      <c r="BJ13"/>
      <c r="BK13"/>
      <c r="BL13"/>
      <c r="BM13"/>
      <c r="BN13"/>
      <c r="BO13"/>
      <c r="BP13"/>
      <c r="BQ13"/>
      <c r="BR13"/>
      <c r="BS13"/>
      <c r="BT13"/>
      <c r="BU13"/>
      <c r="BV13"/>
      <c r="BW13"/>
      <c r="BX13"/>
      <c r="BY13"/>
      <c r="BZ13"/>
      <c r="CA13"/>
      <c r="CB13"/>
      <c r="CC13"/>
      <c r="CD13"/>
      <c r="CE13"/>
      <c r="CF13"/>
      <c r="CG13"/>
      <c r="CH13"/>
      <c r="CI13"/>
      <c r="CJ13"/>
      <c r="CK13"/>
      <c r="CL13"/>
      <c r="CM13"/>
      <c r="CN13"/>
      <c r="CO13"/>
      <c r="CP13"/>
      <c r="CQ13"/>
      <c r="CR13"/>
      <c r="CS13"/>
      <c r="CT13"/>
      <c r="CU13"/>
      <c r="CV13"/>
      <c r="CW13"/>
      <c r="CX13"/>
      <c r="CY13"/>
      <c r="CZ13"/>
      <c r="DA13"/>
      <c r="DB13"/>
      <c r="DC13"/>
      <c r="DD13"/>
      <c r="DE13"/>
      <c r="DF13"/>
      <c r="DG13"/>
      <c r="DH13"/>
      <c r="DI13"/>
      <c r="DJ13"/>
      <c r="DK13"/>
      <c r="DL13"/>
      <c r="DM13"/>
      <c r="DN13"/>
      <c r="DO13"/>
      <c r="DP13"/>
      <c r="DQ13"/>
      <c r="DR13"/>
      <c r="DS13"/>
      <c r="DT13"/>
      <c r="DU13"/>
      <c r="DV13"/>
      <c r="DW13"/>
      <c r="DX13"/>
      <c r="DY13"/>
      <c r="DZ13"/>
      <c r="EA13"/>
      <c r="EB13"/>
      <c r="EC13"/>
      <c r="ED13"/>
      <c r="EE13"/>
      <c r="EF13"/>
      <c r="EG13"/>
      <c r="EH13"/>
      <c r="EI13"/>
      <c r="EJ13"/>
      <c r="EK13"/>
      <c r="EL13"/>
      <c r="EM13"/>
      <c r="EN13"/>
      <c r="EO13"/>
      <c r="EP13"/>
      <c r="EQ13"/>
      <c r="ER13"/>
      <c r="ES13"/>
      <c r="ET13"/>
      <c r="EU13"/>
      <c r="EV13"/>
      <c r="EW13"/>
      <c r="EX13"/>
      <c r="EY13"/>
      <c r="EZ13"/>
      <c r="FA13"/>
      <c r="FB13"/>
      <c r="FC13"/>
      <c r="FD13"/>
      <c r="FE13"/>
      <c r="FF13"/>
      <c r="FG13"/>
      <c r="FH13"/>
      <c r="FI13"/>
      <c r="FJ13"/>
      <c r="FK13"/>
      <c r="FL13"/>
      <c r="FM13"/>
      <c r="FN13"/>
      <c r="FO13"/>
      <c r="FP13"/>
      <c r="FQ13"/>
      <c r="FR13"/>
      <c r="FS13"/>
      <c r="FT13"/>
      <c r="FU13"/>
      <c r="FV13"/>
      <c r="FW13"/>
      <c r="FX13"/>
    </row>
    <row r="14" spans="1:180" s="3" customFormat="1" ht="16.149999999999999" thickBot="1" x14ac:dyDescent="0.55000000000000004">
      <c r="A14"/>
      <c r="B14" s="37"/>
      <c r="C14"/>
      <c r="D14"/>
      <c r="E14"/>
      <c r="F14" s="34" t="s">
        <v>12</v>
      </c>
      <c r="G14" s="18" t="str">
        <f>VLOOKUP(G13,$A$2:$B$13,2,FALSE)</f>
        <v>January</v>
      </c>
      <c r="H14" s="18" t="str">
        <f t="shared" ref="H14:R14" si="0">VLOOKUP(H13,$A$2:$B$13,2,FALSE)</f>
        <v>February</v>
      </c>
      <c r="I14" s="18" t="str">
        <f t="shared" si="0"/>
        <v>March</v>
      </c>
      <c r="J14" s="18" t="str">
        <f t="shared" si="0"/>
        <v>April</v>
      </c>
      <c r="K14" s="18" t="str">
        <f t="shared" si="0"/>
        <v>May</v>
      </c>
      <c r="L14" s="18" t="str">
        <f t="shared" si="0"/>
        <v>June</v>
      </c>
      <c r="M14" s="18" t="str">
        <f t="shared" si="0"/>
        <v>July</v>
      </c>
      <c r="N14" s="18" t="str">
        <f t="shared" si="0"/>
        <v>August</v>
      </c>
      <c r="O14" s="18" t="str">
        <f t="shared" si="0"/>
        <v>September</v>
      </c>
      <c r="P14" s="18" t="str">
        <f t="shared" si="0"/>
        <v>October</v>
      </c>
      <c r="Q14" s="18" t="str">
        <f t="shared" si="0"/>
        <v>November</v>
      </c>
      <c r="R14" s="18" t="str">
        <f t="shared" si="0"/>
        <v>December</v>
      </c>
      <c r="S14"/>
      <c r="T14"/>
      <c r="U14" s="22"/>
      <c r="V14"/>
      <c r="W14" s="22"/>
      <c r="X14" s="22"/>
      <c r="Y14" s="22"/>
      <c r="Z14"/>
      <c r="AA14"/>
      <c r="AB14"/>
      <c r="AC14"/>
      <c r="AD14"/>
      <c r="AE14"/>
      <c r="AF14"/>
      <c r="AG14"/>
      <c r="AH14"/>
      <c r="AI14"/>
      <c r="AJ14"/>
      <c r="AK14"/>
      <c r="AL14"/>
      <c r="AM14"/>
      <c r="AN14"/>
      <c r="AO14"/>
      <c r="AP14"/>
      <c r="AQ14"/>
      <c r="AR14"/>
      <c r="AS14"/>
      <c r="AT14"/>
      <c r="AU14"/>
      <c r="AV14"/>
      <c r="AW14"/>
      <c r="AX14"/>
      <c r="AY14"/>
      <c r="AZ14"/>
      <c r="BA14"/>
      <c r="BB14"/>
      <c r="BC14"/>
      <c r="BD14"/>
      <c r="BE14"/>
      <c r="BF14"/>
      <c r="BG14"/>
      <c r="BH14"/>
      <c r="BI14"/>
      <c r="BJ14"/>
      <c r="BK14"/>
      <c r="BL14"/>
      <c r="BM14"/>
      <c r="BN14"/>
      <c r="BO14"/>
      <c r="BP14"/>
      <c r="BQ14"/>
      <c r="BR14"/>
      <c r="BS14"/>
      <c r="BT14"/>
      <c r="BU14"/>
      <c r="BV14"/>
      <c r="BW14"/>
      <c r="BX14"/>
      <c r="BY14"/>
      <c r="BZ14"/>
      <c r="CA14"/>
      <c r="CB14"/>
      <c r="CC14"/>
      <c r="CD14"/>
      <c r="CE14"/>
      <c r="CF14"/>
      <c r="CG14"/>
      <c r="CH14"/>
      <c r="CI14"/>
      <c r="CJ14"/>
      <c r="CK14"/>
      <c r="CL14"/>
      <c r="CM14"/>
      <c r="CN14"/>
      <c r="CO14"/>
      <c r="CP14"/>
      <c r="CQ14"/>
      <c r="CR14"/>
      <c r="CS14"/>
      <c r="CT14"/>
      <c r="CU14"/>
      <c r="CV14"/>
      <c r="CW14"/>
      <c r="CX14"/>
      <c r="CY14"/>
      <c r="CZ14"/>
      <c r="DA14"/>
      <c r="DB14"/>
      <c r="DC14"/>
      <c r="DD14"/>
      <c r="DE14"/>
      <c r="DF14"/>
      <c r="DG14"/>
      <c r="DH14"/>
      <c r="DI14"/>
      <c r="DJ14"/>
      <c r="DK14"/>
      <c r="DL14"/>
      <c r="DM14"/>
      <c r="DN14"/>
      <c r="DO14"/>
      <c r="DP14"/>
      <c r="DQ14"/>
      <c r="DR14"/>
      <c r="DS14"/>
      <c r="DT14"/>
      <c r="DU14"/>
      <c r="DV14"/>
      <c r="DW14"/>
      <c r="DX14"/>
      <c r="DY14"/>
      <c r="DZ14"/>
      <c r="EA14"/>
      <c r="EB14"/>
      <c r="EC14"/>
      <c r="ED14"/>
      <c r="EE14"/>
      <c r="EF14"/>
      <c r="EG14"/>
      <c r="EH14"/>
      <c r="EI14"/>
      <c r="EJ14"/>
      <c r="EK14"/>
      <c r="EL14"/>
      <c r="EM14"/>
      <c r="EN14"/>
      <c r="EO14"/>
      <c r="EP14"/>
      <c r="EQ14"/>
      <c r="ER14"/>
      <c r="ES14"/>
      <c r="ET14"/>
      <c r="EU14"/>
      <c r="EV14"/>
      <c r="EW14"/>
      <c r="EX14"/>
      <c r="EY14"/>
      <c r="EZ14"/>
      <c r="FA14"/>
      <c r="FB14"/>
      <c r="FC14"/>
      <c r="FD14"/>
      <c r="FE14"/>
      <c r="FF14"/>
      <c r="FG14"/>
      <c r="FH14"/>
      <c r="FI14"/>
      <c r="FJ14"/>
      <c r="FK14"/>
      <c r="FL14"/>
      <c r="FM14"/>
      <c r="FN14"/>
      <c r="FO14"/>
      <c r="FP14"/>
      <c r="FQ14"/>
      <c r="FR14"/>
      <c r="FS14"/>
      <c r="FT14"/>
      <c r="FU14"/>
      <c r="FV14"/>
      <c r="FW14"/>
      <c r="FX14"/>
    </row>
    <row r="15" spans="1:180" s="1" customFormat="1" x14ac:dyDescent="0.45">
      <c r="A15" s="13" t="s">
        <v>32</v>
      </c>
      <c r="B15" s="38" t="s">
        <v>0</v>
      </c>
      <c r="C15"/>
      <c r="D15"/>
      <c r="E15"/>
      <c r="F15" s="35" t="s">
        <v>32</v>
      </c>
      <c r="G15" s="8">
        <f>IF(G14=$B$15,1,"")</f>
        <v>1</v>
      </c>
      <c r="H15" s="8">
        <f t="shared" ref="H15:R15" si="1">IF(G15=1,1,IF(H14=$B$15,1,""))</f>
        <v>1</v>
      </c>
      <c r="I15" s="8">
        <f t="shared" si="1"/>
        <v>1</v>
      </c>
      <c r="J15" s="8">
        <f t="shared" si="1"/>
        <v>1</v>
      </c>
      <c r="K15" s="8">
        <f t="shared" si="1"/>
        <v>1</v>
      </c>
      <c r="L15" s="8">
        <f t="shared" si="1"/>
        <v>1</v>
      </c>
      <c r="M15" s="8">
        <f t="shared" si="1"/>
        <v>1</v>
      </c>
      <c r="N15" s="8">
        <f t="shared" si="1"/>
        <v>1</v>
      </c>
      <c r="O15" s="8">
        <f t="shared" si="1"/>
        <v>1</v>
      </c>
      <c r="P15" s="8">
        <f t="shared" si="1"/>
        <v>1</v>
      </c>
      <c r="Q15" s="8">
        <f t="shared" si="1"/>
        <v>1</v>
      </c>
      <c r="R15" s="8">
        <f t="shared" si="1"/>
        <v>1</v>
      </c>
      <c r="S15"/>
      <c r="T15"/>
      <c r="U15" s="22"/>
      <c r="V15"/>
      <c r="W15" s="22"/>
      <c r="X15" s="22"/>
      <c r="Y15" s="22"/>
      <c r="Z15"/>
      <c r="AA15"/>
      <c r="AB15"/>
      <c r="AC15"/>
      <c r="AD15"/>
      <c r="AE15"/>
      <c r="AF15"/>
      <c r="AG15"/>
      <c r="AH15"/>
      <c r="AI15"/>
      <c r="AJ15"/>
      <c r="AK15"/>
      <c r="AL15"/>
      <c r="AM15"/>
      <c r="AN15"/>
      <c r="AO15"/>
      <c r="AP15"/>
      <c r="AQ15"/>
      <c r="AR15"/>
      <c r="AS15"/>
      <c r="AT15"/>
      <c r="AU15"/>
      <c r="AV15"/>
      <c r="AW15"/>
      <c r="AX15"/>
      <c r="AY15"/>
      <c r="AZ15"/>
      <c r="BA15"/>
      <c r="BB15"/>
      <c r="BC15"/>
      <c r="BD15"/>
      <c r="BE15"/>
      <c r="BF15"/>
      <c r="BG15"/>
      <c r="BH15"/>
      <c r="BI15"/>
      <c r="BJ15"/>
      <c r="BK15"/>
      <c r="BL15"/>
      <c r="BM15"/>
      <c r="BN15"/>
      <c r="BO15"/>
      <c r="BP15"/>
      <c r="BQ15"/>
      <c r="BR15"/>
      <c r="BS15"/>
      <c r="BT15"/>
      <c r="BU15"/>
      <c r="BV15"/>
      <c r="BW15"/>
      <c r="BX15"/>
      <c r="BY15"/>
      <c r="BZ15"/>
      <c r="CA15"/>
      <c r="CB15"/>
      <c r="CC15"/>
      <c r="CD15"/>
      <c r="CE15"/>
      <c r="CF15"/>
      <c r="CG15"/>
      <c r="CH15"/>
      <c r="CI15"/>
      <c r="CJ15"/>
      <c r="CK15"/>
      <c r="CL15"/>
      <c r="CM15"/>
      <c r="CN15"/>
      <c r="CO15"/>
      <c r="CP15"/>
      <c r="CQ15"/>
      <c r="CR15"/>
      <c r="CS15"/>
      <c r="CT15"/>
      <c r="CU15"/>
      <c r="CV15"/>
      <c r="CW15"/>
      <c r="CX15"/>
      <c r="CY15"/>
      <c r="CZ15"/>
      <c r="DA15"/>
      <c r="DB15"/>
      <c r="DC15"/>
      <c r="DD15"/>
      <c r="DE15"/>
      <c r="DF15"/>
      <c r="DG15"/>
      <c r="DH15"/>
      <c r="DI15"/>
      <c r="DJ15"/>
      <c r="DK15"/>
      <c r="DL15"/>
      <c r="DM15"/>
      <c r="DN15"/>
      <c r="DO15"/>
      <c r="DP15"/>
      <c r="DQ15"/>
      <c r="DR15"/>
      <c r="DS15"/>
      <c r="DT15"/>
      <c r="DU15"/>
      <c r="DV15"/>
      <c r="DW15"/>
      <c r="DX15"/>
      <c r="DY15"/>
      <c r="DZ15"/>
      <c r="EA15"/>
      <c r="EB15"/>
      <c r="EC15"/>
      <c r="ED15"/>
      <c r="EE15"/>
      <c r="EF15"/>
      <c r="EG15"/>
      <c r="EH15"/>
      <c r="EI15"/>
      <c r="EJ15"/>
      <c r="EK15"/>
      <c r="EL15"/>
      <c r="EM15"/>
      <c r="EN15"/>
      <c r="EO15"/>
      <c r="EP15"/>
      <c r="EQ15"/>
      <c r="ER15"/>
      <c r="ES15"/>
      <c r="ET15"/>
      <c r="EU15"/>
      <c r="EV15"/>
      <c r="EW15"/>
      <c r="EX15"/>
      <c r="EY15"/>
      <c r="EZ15"/>
      <c r="FA15"/>
      <c r="FB15"/>
      <c r="FC15"/>
      <c r="FD15"/>
      <c r="FE15"/>
      <c r="FF15"/>
      <c r="FG15"/>
      <c r="FH15"/>
      <c r="FI15"/>
      <c r="FJ15"/>
      <c r="FK15"/>
      <c r="FL15"/>
      <c r="FM15"/>
      <c r="FN15"/>
      <c r="FO15"/>
      <c r="FP15"/>
      <c r="FQ15"/>
      <c r="FR15"/>
      <c r="FS15"/>
      <c r="FT15"/>
      <c r="FU15"/>
      <c r="FV15"/>
      <c r="FW15"/>
      <c r="FX15"/>
    </row>
    <row r="16" spans="1:180" x14ac:dyDescent="0.45">
      <c r="A16" s="14" t="s">
        <v>30</v>
      </c>
      <c r="B16" s="39">
        <v>345</v>
      </c>
      <c r="F16" s="6" t="s">
        <v>13</v>
      </c>
      <c r="G16" s="9">
        <f t="shared" ref="G16:R16" si="2">IF(G15=1,$B$16,"")</f>
        <v>345</v>
      </c>
      <c r="H16" s="9">
        <f t="shared" si="2"/>
        <v>345</v>
      </c>
      <c r="I16" s="9">
        <f t="shared" si="2"/>
        <v>345</v>
      </c>
      <c r="J16" s="9">
        <f t="shared" si="2"/>
        <v>345</v>
      </c>
      <c r="K16" s="9">
        <f t="shared" si="2"/>
        <v>345</v>
      </c>
      <c r="L16" s="9">
        <f t="shared" si="2"/>
        <v>345</v>
      </c>
      <c r="M16" s="9">
        <f t="shared" si="2"/>
        <v>345</v>
      </c>
      <c r="N16" s="9">
        <f t="shared" si="2"/>
        <v>345</v>
      </c>
      <c r="O16" s="9">
        <f t="shared" si="2"/>
        <v>345</v>
      </c>
      <c r="P16" s="9">
        <f t="shared" si="2"/>
        <v>345</v>
      </c>
      <c r="Q16" s="9">
        <f t="shared" si="2"/>
        <v>345</v>
      </c>
      <c r="R16" s="9">
        <f t="shared" si="2"/>
        <v>345</v>
      </c>
      <c r="U16" s="22"/>
      <c r="W16" s="22"/>
      <c r="X16" s="22"/>
      <c r="Y16" s="22"/>
    </row>
    <row r="17" spans="1:180" x14ac:dyDescent="0.45">
      <c r="A17" s="14" t="s">
        <v>16</v>
      </c>
      <c r="B17" s="39">
        <v>20</v>
      </c>
      <c r="F17" s="6" t="s">
        <v>16</v>
      </c>
      <c r="G17" s="9">
        <f t="shared" ref="G17:R17" si="3">IF(G15=1,$B$17,"")</f>
        <v>20</v>
      </c>
      <c r="H17" s="9">
        <f t="shared" si="3"/>
        <v>20</v>
      </c>
      <c r="I17" s="9">
        <f t="shared" si="3"/>
        <v>20</v>
      </c>
      <c r="J17" s="9">
        <f t="shared" si="3"/>
        <v>20</v>
      </c>
      <c r="K17" s="9">
        <f t="shared" si="3"/>
        <v>20</v>
      </c>
      <c r="L17" s="9">
        <f t="shared" si="3"/>
        <v>20</v>
      </c>
      <c r="M17" s="9">
        <f t="shared" si="3"/>
        <v>20</v>
      </c>
      <c r="N17" s="9">
        <f t="shared" si="3"/>
        <v>20</v>
      </c>
      <c r="O17" s="9">
        <f t="shared" si="3"/>
        <v>20</v>
      </c>
      <c r="P17" s="9">
        <f t="shared" si="3"/>
        <v>20</v>
      </c>
      <c r="Q17" s="9">
        <f t="shared" si="3"/>
        <v>20</v>
      </c>
      <c r="R17" s="9">
        <f t="shared" si="3"/>
        <v>20</v>
      </c>
      <c r="U17" s="22"/>
      <c r="W17" s="22"/>
      <c r="X17" s="22"/>
      <c r="Y17" s="22"/>
    </row>
    <row r="18" spans="1:180" x14ac:dyDescent="0.45">
      <c r="A18" s="14" t="s">
        <v>14</v>
      </c>
      <c r="B18" s="39">
        <v>-122</v>
      </c>
      <c r="F18" s="6" t="s">
        <v>14</v>
      </c>
      <c r="G18" s="9">
        <f>$B$18</f>
        <v>-122</v>
      </c>
      <c r="H18" s="9">
        <f t="shared" ref="H18:R18" si="4">$B$18</f>
        <v>-122</v>
      </c>
      <c r="I18" s="9">
        <f t="shared" si="4"/>
        <v>-122</v>
      </c>
      <c r="J18" s="9">
        <f t="shared" si="4"/>
        <v>-122</v>
      </c>
      <c r="K18" s="9">
        <f t="shared" si="4"/>
        <v>-122</v>
      </c>
      <c r="L18" s="9">
        <f t="shared" si="4"/>
        <v>-122</v>
      </c>
      <c r="M18" s="9">
        <f t="shared" si="4"/>
        <v>-122</v>
      </c>
      <c r="N18" s="9">
        <f t="shared" si="4"/>
        <v>-122</v>
      </c>
      <c r="O18" s="9">
        <f t="shared" si="4"/>
        <v>-122</v>
      </c>
      <c r="P18" s="9">
        <f t="shared" si="4"/>
        <v>-122</v>
      </c>
      <c r="Q18" s="9">
        <f t="shared" si="4"/>
        <v>-122</v>
      </c>
      <c r="R18" s="9">
        <f t="shared" si="4"/>
        <v>-122</v>
      </c>
      <c r="U18" s="22"/>
      <c r="W18" s="22"/>
      <c r="X18" s="22"/>
      <c r="Y18" s="22"/>
    </row>
    <row r="19" spans="1:180" x14ac:dyDescent="0.45">
      <c r="A19" s="14" t="s">
        <v>15</v>
      </c>
      <c r="B19" s="39">
        <v>-43</v>
      </c>
      <c r="F19" s="6" t="s">
        <v>15</v>
      </c>
      <c r="G19" s="9">
        <f>$B$19</f>
        <v>-43</v>
      </c>
      <c r="H19" s="9">
        <f t="shared" ref="H19:R19" si="5">$B$19</f>
        <v>-43</v>
      </c>
      <c r="I19" s="9">
        <f t="shared" si="5"/>
        <v>-43</v>
      </c>
      <c r="J19" s="9">
        <f t="shared" si="5"/>
        <v>-43</v>
      </c>
      <c r="K19" s="9">
        <f t="shared" si="5"/>
        <v>-43</v>
      </c>
      <c r="L19" s="9">
        <f t="shared" si="5"/>
        <v>-43</v>
      </c>
      <c r="M19" s="9">
        <f t="shared" si="5"/>
        <v>-43</v>
      </c>
      <c r="N19" s="9">
        <f t="shared" si="5"/>
        <v>-43</v>
      </c>
      <c r="O19" s="9">
        <f t="shared" si="5"/>
        <v>-43</v>
      </c>
      <c r="P19" s="9">
        <f t="shared" si="5"/>
        <v>-43</v>
      </c>
      <c r="Q19" s="9">
        <f t="shared" si="5"/>
        <v>-43</v>
      </c>
      <c r="R19" s="9">
        <f t="shared" si="5"/>
        <v>-43</v>
      </c>
      <c r="U19" s="22"/>
      <c r="W19" s="22"/>
      <c r="X19" s="22"/>
      <c r="Y19" s="22"/>
    </row>
    <row r="20" spans="1:180" ht="14.65" thickBot="1" x14ac:dyDescent="0.5">
      <c r="A20" s="15" t="s">
        <v>17</v>
      </c>
      <c r="B20" s="40">
        <v>-20</v>
      </c>
      <c r="F20" s="6" t="s">
        <v>17</v>
      </c>
      <c r="G20" s="9">
        <f t="shared" ref="G20:R20" si="6">IF(G15=1,$B$20,"")</f>
        <v>-20</v>
      </c>
      <c r="H20" s="9">
        <f t="shared" si="6"/>
        <v>-20</v>
      </c>
      <c r="I20" s="9">
        <f t="shared" si="6"/>
        <v>-20</v>
      </c>
      <c r="J20" s="9">
        <f t="shared" si="6"/>
        <v>-20</v>
      </c>
      <c r="K20" s="9">
        <f t="shared" si="6"/>
        <v>-20</v>
      </c>
      <c r="L20" s="9">
        <f t="shared" si="6"/>
        <v>-20</v>
      </c>
      <c r="M20" s="9">
        <f t="shared" si="6"/>
        <v>-20</v>
      </c>
      <c r="N20" s="9">
        <f t="shared" si="6"/>
        <v>-20</v>
      </c>
      <c r="O20" s="9">
        <f t="shared" si="6"/>
        <v>-20</v>
      </c>
      <c r="P20" s="9">
        <f t="shared" si="6"/>
        <v>-20</v>
      </c>
      <c r="Q20" s="9">
        <f t="shared" si="6"/>
        <v>-20</v>
      </c>
      <c r="R20" s="9">
        <f t="shared" si="6"/>
        <v>-20</v>
      </c>
      <c r="U20" s="22"/>
    </row>
    <row r="21" spans="1:180" x14ac:dyDescent="0.45">
      <c r="F21" s="6" t="s">
        <v>18</v>
      </c>
      <c r="G21" s="9" t="str">
        <f>IF(G14=$B$23,$B$24,"")</f>
        <v/>
      </c>
      <c r="H21" s="9" t="str">
        <f t="shared" ref="H21:R21" si="7">IF(H14=$B$23,$B$24,"")</f>
        <v/>
      </c>
      <c r="I21" s="9">
        <f t="shared" si="7"/>
        <v>-700</v>
      </c>
      <c r="J21" s="9" t="str">
        <f t="shared" si="7"/>
        <v/>
      </c>
      <c r="K21" s="9" t="str">
        <f t="shared" si="7"/>
        <v/>
      </c>
      <c r="L21" s="9" t="str">
        <f t="shared" si="7"/>
        <v/>
      </c>
      <c r="M21" s="9" t="str">
        <f t="shared" si="7"/>
        <v/>
      </c>
      <c r="N21" s="9" t="str">
        <f t="shared" si="7"/>
        <v/>
      </c>
      <c r="O21" s="9" t="str">
        <f t="shared" si="7"/>
        <v/>
      </c>
      <c r="P21" s="9" t="str">
        <f t="shared" si="7"/>
        <v/>
      </c>
      <c r="Q21" s="9" t="str">
        <f t="shared" si="7"/>
        <v/>
      </c>
      <c r="R21" s="9" t="str">
        <f t="shared" si="7"/>
        <v/>
      </c>
      <c r="U21" s="22"/>
    </row>
    <row r="22" spans="1:180" s="1" customFormat="1" ht="14.65" thickBot="1" x14ac:dyDescent="0.5">
      <c r="A22"/>
      <c r="B22" s="37"/>
      <c r="C22"/>
      <c r="D22"/>
      <c r="E22"/>
      <c r="F22" s="35" t="s">
        <v>33</v>
      </c>
      <c r="G22" s="8" t="str">
        <f>IF(G14=$B$27,1,"")</f>
        <v/>
      </c>
      <c r="H22" s="8" t="str">
        <f>IF(G22=1,1,IF(H14=$B$27,1,""))</f>
        <v/>
      </c>
      <c r="I22" s="8">
        <f t="shared" ref="I22:R22" si="8">IF(H22=1,1,IF(I14=$B$27,1,""))</f>
        <v>1</v>
      </c>
      <c r="J22" s="8">
        <f t="shared" si="8"/>
        <v>1</v>
      </c>
      <c r="K22" s="8">
        <f t="shared" si="8"/>
        <v>1</v>
      </c>
      <c r="L22" s="8">
        <f t="shared" si="8"/>
        <v>1</v>
      </c>
      <c r="M22" s="8">
        <f t="shared" si="8"/>
        <v>1</v>
      </c>
      <c r="N22" s="8">
        <f t="shared" si="8"/>
        <v>1</v>
      </c>
      <c r="O22" s="8">
        <f t="shared" si="8"/>
        <v>1</v>
      </c>
      <c r="P22" s="8">
        <f t="shared" si="8"/>
        <v>1</v>
      </c>
      <c r="Q22" s="8">
        <f t="shared" si="8"/>
        <v>1</v>
      </c>
      <c r="R22" s="8">
        <f t="shared" si="8"/>
        <v>1</v>
      </c>
      <c r="S22"/>
      <c r="T22"/>
      <c r="U22" s="22"/>
      <c r="V22"/>
      <c r="W22"/>
      <c r="X22"/>
      <c r="Y22"/>
      <c r="Z22"/>
      <c r="AA22"/>
      <c r="AB22"/>
      <c r="AC22"/>
      <c r="AD22"/>
      <c r="AE22"/>
      <c r="AF22"/>
      <c r="AG22"/>
      <c r="AH22"/>
      <c r="AI22"/>
      <c r="AJ22"/>
      <c r="AK22"/>
      <c r="AL22"/>
      <c r="AM22"/>
      <c r="AN22"/>
      <c r="AO22"/>
      <c r="AP22"/>
      <c r="AQ22"/>
      <c r="AR22"/>
      <c r="AS22"/>
      <c r="AT22"/>
      <c r="AU22"/>
      <c r="AV22"/>
      <c r="AW22"/>
      <c r="AX22"/>
      <c r="AY22"/>
      <c r="AZ22"/>
      <c r="BA22"/>
      <c r="BB22"/>
      <c r="BC22"/>
      <c r="BD22"/>
      <c r="BE22"/>
      <c r="BF22"/>
      <c r="BG22"/>
      <c r="BH22"/>
      <c r="BI22"/>
      <c r="BJ22"/>
      <c r="BK22"/>
      <c r="BL22"/>
      <c r="BM22"/>
      <c r="BN22"/>
      <c r="BO22"/>
      <c r="BP22"/>
      <c r="BQ22"/>
      <c r="BR22"/>
      <c r="BS22"/>
      <c r="BT22"/>
      <c r="BU22"/>
      <c r="BV22"/>
      <c r="BW22"/>
      <c r="BX22"/>
      <c r="BY22"/>
      <c r="BZ22"/>
      <c r="CA22"/>
      <c r="CB22"/>
      <c r="CC22"/>
      <c r="CD22"/>
      <c r="CE22"/>
      <c r="CF22"/>
      <c r="CG22"/>
      <c r="CH22"/>
      <c r="CI22"/>
      <c r="CJ22"/>
      <c r="CK22"/>
      <c r="CL22"/>
      <c r="CM22"/>
      <c r="CN22"/>
      <c r="CO22"/>
      <c r="CP22"/>
      <c r="CQ22"/>
      <c r="CR22"/>
      <c r="CS22"/>
      <c r="CT22"/>
      <c r="CU22"/>
      <c r="CV22"/>
      <c r="CW22"/>
      <c r="CX22"/>
      <c r="CY22"/>
      <c r="CZ22"/>
      <c r="DA22"/>
      <c r="DB22"/>
      <c r="DC22"/>
      <c r="DD22"/>
      <c r="DE22"/>
      <c r="DF22"/>
      <c r="DG22"/>
      <c r="DH22"/>
      <c r="DI22"/>
      <c r="DJ22"/>
      <c r="DK22"/>
      <c r="DL22"/>
      <c r="DM22"/>
      <c r="DN22"/>
      <c r="DO22"/>
      <c r="DP22"/>
      <c r="DQ22"/>
      <c r="DR22"/>
      <c r="DS22"/>
      <c r="DT22"/>
      <c r="DU22"/>
      <c r="DV22"/>
      <c r="DW22"/>
      <c r="DX22"/>
      <c r="DY22"/>
      <c r="DZ22"/>
      <c r="EA22"/>
      <c r="EB22"/>
      <c r="EC22"/>
      <c r="ED22"/>
      <c r="EE22"/>
      <c r="EF22"/>
      <c r="EG22"/>
      <c r="EH22"/>
      <c r="EI22"/>
      <c r="EJ22"/>
      <c r="EK22"/>
      <c r="EL22"/>
      <c r="EM22"/>
      <c r="EN22"/>
      <c r="EO22"/>
      <c r="EP22"/>
      <c r="EQ22"/>
      <c r="ER22"/>
      <c r="ES22"/>
      <c r="ET22"/>
      <c r="EU22"/>
      <c r="EV22"/>
      <c r="EW22"/>
      <c r="EX22"/>
      <c r="EY22"/>
      <c r="EZ22"/>
      <c r="FA22"/>
      <c r="FB22"/>
      <c r="FC22"/>
      <c r="FD22"/>
      <c r="FE22"/>
      <c r="FF22"/>
      <c r="FG22"/>
      <c r="FH22"/>
      <c r="FI22"/>
      <c r="FJ22"/>
      <c r="FK22"/>
      <c r="FL22"/>
      <c r="FM22"/>
      <c r="FN22"/>
      <c r="FO22"/>
      <c r="FP22"/>
      <c r="FQ22"/>
      <c r="FR22"/>
      <c r="FS22"/>
      <c r="FT22"/>
      <c r="FU22"/>
      <c r="FV22"/>
      <c r="FW22"/>
      <c r="FX22"/>
    </row>
    <row r="23" spans="1:180" x14ac:dyDescent="0.45">
      <c r="A23" s="11" t="s">
        <v>35</v>
      </c>
      <c r="B23" s="16" t="s">
        <v>2</v>
      </c>
      <c r="F23" s="6" t="s">
        <v>13</v>
      </c>
      <c r="G23" s="9" t="str">
        <f>IF(G22=1,$B$28,"")</f>
        <v/>
      </c>
      <c r="H23" s="9" t="str">
        <f t="shared" ref="H23:R23" si="9">IF(H22=1,$B$28,"")</f>
        <v/>
      </c>
      <c r="I23" s="9">
        <f t="shared" si="9"/>
        <v>440</v>
      </c>
      <c r="J23" s="9">
        <f t="shared" si="9"/>
        <v>440</v>
      </c>
      <c r="K23" s="9">
        <f t="shared" si="9"/>
        <v>440</v>
      </c>
      <c r="L23" s="9">
        <f t="shared" si="9"/>
        <v>440</v>
      </c>
      <c r="M23" s="9">
        <f t="shared" si="9"/>
        <v>440</v>
      </c>
      <c r="N23" s="9">
        <f t="shared" si="9"/>
        <v>440</v>
      </c>
      <c r="O23" s="9">
        <f t="shared" si="9"/>
        <v>440</v>
      </c>
      <c r="P23" s="9">
        <f t="shared" si="9"/>
        <v>440</v>
      </c>
      <c r="Q23" s="9">
        <f t="shared" si="9"/>
        <v>440</v>
      </c>
      <c r="R23" s="9">
        <f t="shared" si="9"/>
        <v>440</v>
      </c>
      <c r="U23" s="22"/>
    </row>
    <row r="24" spans="1:180" ht="14.65" thickBot="1" x14ac:dyDescent="0.5">
      <c r="A24" s="12" t="s">
        <v>18</v>
      </c>
      <c r="B24" s="41">
        <v>-700</v>
      </c>
      <c r="F24" s="6" t="s">
        <v>16</v>
      </c>
      <c r="G24" s="9" t="str">
        <f>IF(G22=1,$B$29,"")</f>
        <v/>
      </c>
      <c r="H24" s="9" t="str">
        <f t="shared" ref="H24:R24" si="10">IF(H22=1,$B$29,"")</f>
        <v/>
      </c>
      <c r="I24" s="9">
        <f t="shared" si="10"/>
        <v>0</v>
      </c>
      <c r="J24" s="9">
        <f t="shared" si="10"/>
        <v>0</v>
      </c>
      <c r="K24" s="9">
        <f t="shared" si="10"/>
        <v>0</v>
      </c>
      <c r="L24" s="9">
        <f t="shared" si="10"/>
        <v>0</v>
      </c>
      <c r="M24" s="9">
        <f t="shared" si="10"/>
        <v>0</v>
      </c>
      <c r="N24" s="9">
        <f t="shared" si="10"/>
        <v>0</v>
      </c>
      <c r="O24" s="9">
        <f t="shared" si="10"/>
        <v>0</v>
      </c>
      <c r="P24" s="9">
        <f t="shared" si="10"/>
        <v>0</v>
      </c>
      <c r="Q24" s="9">
        <f t="shared" si="10"/>
        <v>0</v>
      </c>
      <c r="R24" s="9">
        <f t="shared" si="10"/>
        <v>0</v>
      </c>
      <c r="U24" s="22"/>
    </row>
    <row r="25" spans="1:180" x14ac:dyDescent="0.45">
      <c r="F25" s="6" t="s">
        <v>14</v>
      </c>
      <c r="G25" s="9">
        <f>$B$30</f>
        <v>-202</v>
      </c>
      <c r="H25" s="9">
        <f t="shared" ref="H25:R25" si="11">$B$30</f>
        <v>-202</v>
      </c>
      <c r="I25" s="9">
        <f t="shared" si="11"/>
        <v>-202</v>
      </c>
      <c r="J25" s="9">
        <f t="shared" si="11"/>
        <v>-202</v>
      </c>
      <c r="K25" s="9">
        <f t="shared" si="11"/>
        <v>-202</v>
      </c>
      <c r="L25" s="9">
        <f t="shared" si="11"/>
        <v>-202</v>
      </c>
      <c r="M25" s="9">
        <f t="shared" si="11"/>
        <v>-202</v>
      </c>
      <c r="N25" s="9">
        <f t="shared" si="11"/>
        <v>-202</v>
      </c>
      <c r="O25" s="9">
        <f t="shared" si="11"/>
        <v>-202</v>
      </c>
      <c r="P25" s="9">
        <f t="shared" si="11"/>
        <v>-202</v>
      </c>
      <c r="Q25" s="9">
        <f t="shared" si="11"/>
        <v>-202</v>
      </c>
      <c r="R25" s="9">
        <f t="shared" si="11"/>
        <v>-202</v>
      </c>
    </row>
    <row r="26" spans="1:180" ht="14.65" thickBot="1" x14ac:dyDescent="0.5">
      <c r="F26" s="6" t="s">
        <v>17</v>
      </c>
      <c r="G26" s="9" t="str">
        <f t="shared" ref="G26:R26" si="12">IF(G22=1,$B$31,"")</f>
        <v/>
      </c>
      <c r="H26" s="9" t="str">
        <f t="shared" si="12"/>
        <v/>
      </c>
      <c r="I26" s="9">
        <f t="shared" si="12"/>
        <v>-40</v>
      </c>
      <c r="J26" s="9">
        <f t="shared" si="12"/>
        <v>-40</v>
      </c>
      <c r="K26" s="9">
        <f t="shared" si="12"/>
        <v>-40</v>
      </c>
      <c r="L26" s="9">
        <f t="shared" si="12"/>
        <v>-40</v>
      </c>
      <c r="M26" s="9">
        <f t="shared" si="12"/>
        <v>-40</v>
      </c>
      <c r="N26" s="9">
        <f t="shared" si="12"/>
        <v>-40</v>
      </c>
      <c r="O26" s="9">
        <f t="shared" si="12"/>
        <v>-40</v>
      </c>
      <c r="P26" s="9">
        <f t="shared" si="12"/>
        <v>-40</v>
      </c>
      <c r="Q26" s="9">
        <f t="shared" si="12"/>
        <v>-40</v>
      </c>
      <c r="R26" s="9">
        <f t="shared" si="12"/>
        <v>-40</v>
      </c>
    </row>
    <row r="27" spans="1:180" x14ac:dyDescent="0.45">
      <c r="A27" s="13" t="s">
        <v>33</v>
      </c>
      <c r="B27" s="16" t="s">
        <v>2</v>
      </c>
      <c r="F27" s="6" t="s">
        <v>18</v>
      </c>
      <c r="G27" s="9" t="str">
        <f t="shared" ref="G27:R27" si="13">IF(G22=1,$B$32,"")</f>
        <v/>
      </c>
      <c r="H27" s="9" t="str">
        <f t="shared" si="13"/>
        <v/>
      </c>
      <c r="I27" s="9">
        <f t="shared" si="13"/>
        <v>0</v>
      </c>
      <c r="J27" s="9">
        <f t="shared" si="13"/>
        <v>0</v>
      </c>
      <c r="K27" s="9">
        <f t="shared" si="13"/>
        <v>0</v>
      </c>
      <c r="L27" s="9">
        <f t="shared" si="13"/>
        <v>0</v>
      </c>
      <c r="M27" s="9">
        <f t="shared" si="13"/>
        <v>0</v>
      </c>
      <c r="N27" s="9">
        <f t="shared" si="13"/>
        <v>0</v>
      </c>
      <c r="O27" s="9">
        <f t="shared" si="13"/>
        <v>0</v>
      </c>
      <c r="P27" s="9">
        <f t="shared" si="13"/>
        <v>0</v>
      </c>
      <c r="Q27" s="9">
        <f t="shared" si="13"/>
        <v>0</v>
      </c>
      <c r="R27" s="9">
        <f t="shared" si="13"/>
        <v>0</v>
      </c>
    </row>
    <row r="28" spans="1:180" x14ac:dyDescent="0.45">
      <c r="A28" s="14" t="s">
        <v>13</v>
      </c>
      <c r="B28" s="39">
        <v>440</v>
      </c>
      <c r="F28" s="35" t="s">
        <v>34</v>
      </c>
      <c r="G28" s="8" t="str">
        <f>IF(G14=$B$36,1,"")</f>
        <v/>
      </c>
      <c r="H28" s="8" t="str">
        <f t="shared" ref="H28:R28" si="14">IF(G28=1,1,IF(H14=$B$36,1,""))</f>
        <v/>
      </c>
      <c r="I28" s="8" t="str">
        <f t="shared" si="14"/>
        <v/>
      </c>
      <c r="J28" s="8" t="str">
        <f t="shared" si="14"/>
        <v/>
      </c>
      <c r="K28" s="8">
        <f t="shared" si="14"/>
        <v>1</v>
      </c>
      <c r="L28" s="8">
        <f t="shared" si="14"/>
        <v>1</v>
      </c>
      <c r="M28" s="8">
        <f t="shared" si="14"/>
        <v>1</v>
      </c>
      <c r="N28" s="8">
        <f t="shared" si="14"/>
        <v>1</v>
      </c>
      <c r="O28" s="8">
        <f t="shared" si="14"/>
        <v>1</v>
      </c>
      <c r="P28" s="8">
        <f t="shared" si="14"/>
        <v>1</v>
      </c>
      <c r="Q28" s="8">
        <f t="shared" si="14"/>
        <v>1</v>
      </c>
      <c r="R28" s="8">
        <f t="shared" si="14"/>
        <v>1</v>
      </c>
    </row>
    <row r="29" spans="1:180" s="1" customFormat="1" x14ac:dyDescent="0.45">
      <c r="A29" s="14" t="s">
        <v>16</v>
      </c>
      <c r="B29" s="39"/>
      <c r="C29"/>
      <c r="D29"/>
      <c r="E29"/>
      <c r="F29" s="6" t="s">
        <v>13</v>
      </c>
      <c r="G29" s="9" t="str">
        <f>IF(G28=1,$B$37,"")</f>
        <v/>
      </c>
      <c r="H29" s="9" t="str">
        <f t="shared" ref="H29:R29" si="15">IF(H28=1,$B$37,"")</f>
        <v/>
      </c>
      <c r="I29" s="9" t="str">
        <f t="shared" si="15"/>
        <v/>
      </c>
      <c r="J29" s="9" t="str">
        <f t="shared" si="15"/>
        <v/>
      </c>
      <c r="K29" s="9">
        <f t="shared" si="15"/>
        <v>600</v>
      </c>
      <c r="L29" s="9">
        <f t="shared" si="15"/>
        <v>600</v>
      </c>
      <c r="M29" s="9">
        <f t="shared" si="15"/>
        <v>600</v>
      </c>
      <c r="N29" s="9">
        <f t="shared" si="15"/>
        <v>600</v>
      </c>
      <c r="O29" s="9">
        <f t="shared" si="15"/>
        <v>600</v>
      </c>
      <c r="P29" s="9">
        <f t="shared" si="15"/>
        <v>600</v>
      </c>
      <c r="Q29" s="9">
        <f t="shared" si="15"/>
        <v>600</v>
      </c>
      <c r="R29" s="9">
        <f t="shared" si="15"/>
        <v>600</v>
      </c>
      <c r="S29"/>
      <c r="T29"/>
      <c r="U29"/>
      <c r="V29"/>
      <c r="W29"/>
      <c r="X29"/>
      <c r="Y29"/>
      <c r="Z29"/>
      <c r="AA29"/>
      <c r="AB29"/>
      <c r="AC29"/>
      <c r="AD29"/>
      <c r="AE29"/>
      <c r="AF29"/>
      <c r="AG29"/>
      <c r="AH29"/>
      <c r="AI29"/>
      <c r="AJ29"/>
      <c r="AK29"/>
      <c r="AL29"/>
      <c r="AM29"/>
      <c r="AN29"/>
      <c r="AO29"/>
      <c r="AP29"/>
      <c r="AQ29"/>
      <c r="AR29"/>
      <c r="AS29"/>
      <c r="AT29"/>
      <c r="AU29"/>
      <c r="AV29"/>
      <c r="AW29"/>
      <c r="AX29"/>
      <c r="AY29"/>
      <c r="AZ29"/>
      <c r="BA29"/>
      <c r="BB29"/>
      <c r="BC29"/>
      <c r="BD29"/>
      <c r="BE29"/>
      <c r="BF29"/>
      <c r="BG29"/>
      <c r="BH29"/>
      <c r="BI29"/>
      <c r="BJ29"/>
      <c r="BK29"/>
      <c r="BL29"/>
      <c r="BM29"/>
      <c r="BN29"/>
      <c r="BO29"/>
      <c r="BP29"/>
      <c r="BQ29"/>
      <c r="BR29"/>
      <c r="BS29"/>
      <c r="BT29"/>
      <c r="BU29"/>
      <c r="BV29"/>
      <c r="BW29"/>
      <c r="BX29"/>
      <c r="BY29"/>
      <c r="BZ29"/>
      <c r="CA29"/>
      <c r="CB29"/>
      <c r="CC29"/>
      <c r="CD29"/>
      <c r="CE29"/>
      <c r="CF29"/>
      <c r="CG29"/>
      <c r="CH29"/>
      <c r="CI29"/>
      <c r="CJ29"/>
      <c r="CK29"/>
      <c r="CL29"/>
      <c r="CM29"/>
      <c r="CN29"/>
      <c r="CO29"/>
      <c r="CP29"/>
      <c r="CQ29"/>
      <c r="CR29"/>
      <c r="CS29"/>
      <c r="CT29"/>
      <c r="CU29"/>
      <c r="CV29"/>
      <c r="CW29"/>
      <c r="CX29"/>
      <c r="CY29"/>
      <c r="CZ29"/>
      <c r="DA29"/>
      <c r="DB29"/>
      <c r="DC29"/>
      <c r="DD29"/>
      <c r="DE29"/>
      <c r="DF29"/>
      <c r="DG29"/>
      <c r="DH29"/>
      <c r="DI29"/>
      <c r="DJ29"/>
      <c r="DK29"/>
      <c r="DL29"/>
      <c r="DM29"/>
      <c r="DN29"/>
      <c r="DO29"/>
      <c r="DP29"/>
      <c r="DQ29"/>
      <c r="DR29"/>
      <c r="DS29"/>
      <c r="DT29"/>
      <c r="DU29"/>
      <c r="DV29"/>
      <c r="DW29"/>
      <c r="DX29"/>
      <c r="DY29"/>
      <c r="DZ29"/>
      <c r="EA29"/>
      <c r="EB29"/>
      <c r="EC29"/>
      <c r="ED29"/>
      <c r="EE29"/>
      <c r="EF29"/>
      <c r="EG29"/>
      <c r="EH29"/>
      <c r="EI29"/>
      <c r="EJ29"/>
      <c r="EK29"/>
      <c r="EL29"/>
      <c r="EM29"/>
      <c r="EN29"/>
      <c r="EO29"/>
      <c r="EP29"/>
      <c r="EQ29"/>
      <c r="ER29"/>
      <c r="ES29"/>
      <c r="ET29"/>
      <c r="EU29"/>
      <c r="EV29"/>
      <c r="EW29"/>
      <c r="EX29"/>
      <c r="EY29"/>
      <c r="EZ29"/>
      <c r="FA29"/>
      <c r="FB29"/>
      <c r="FC29"/>
      <c r="FD29"/>
      <c r="FE29"/>
      <c r="FF29"/>
      <c r="FG29"/>
      <c r="FH29"/>
      <c r="FI29"/>
      <c r="FJ29"/>
      <c r="FK29"/>
      <c r="FL29"/>
      <c r="FM29"/>
      <c r="FN29"/>
      <c r="FO29"/>
      <c r="FP29"/>
      <c r="FQ29"/>
      <c r="FR29"/>
      <c r="FS29"/>
      <c r="FT29"/>
      <c r="FU29"/>
      <c r="FV29"/>
      <c r="FW29"/>
      <c r="FX29"/>
    </row>
    <row r="30" spans="1:180" x14ac:dyDescent="0.45">
      <c r="A30" s="14" t="s">
        <v>14</v>
      </c>
      <c r="B30" s="39">
        <v>-202</v>
      </c>
      <c r="F30" s="6" t="s">
        <v>16</v>
      </c>
      <c r="G30" s="9" t="str">
        <f>IF(G28=1,$B$38,"")</f>
        <v/>
      </c>
      <c r="H30" s="9" t="str">
        <f t="shared" ref="H30:R30" si="16">IF(H28=1,$B$38,"")</f>
        <v/>
      </c>
      <c r="I30" s="9" t="str">
        <f t="shared" si="16"/>
        <v/>
      </c>
      <c r="J30" s="9" t="str">
        <f t="shared" si="16"/>
        <v/>
      </c>
      <c r="K30" s="9">
        <f t="shared" si="16"/>
        <v>51</v>
      </c>
      <c r="L30" s="9">
        <f t="shared" si="16"/>
        <v>51</v>
      </c>
      <c r="M30" s="9">
        <f t="shared" si="16"/>
        <v>51</v>
      </c>
      <c r="N30" s="9">
        <f t="shared" si="16"/>
        <v>51</v>
      </c>
      <c r="O30" s="9">
        <f t="shared" si="16"/>
        <v>51</v>
      </c>
      <c r="P30" s="9">
        <f t="shared" si="16"/>
        <v>51</v>
      </c>
      <c r="Q30" s="9">
        <f t="shared" si="16"/>
        <v>51</v>
      </c>
      <c r="R30" s="9">
        <f t="shared" si="16"/>
        <v>51</v>
      </c>
    </row>
    <row r="31" spans="1:180" x14ac:dyDescent="0.45">
      <c r="A31" s="14" t="s">
        <v>17</v>
      </c>
      <c r="B31" s="39">
        <v>-40</v>
      </c>
      <c r="F31" s="6" t="s">
        <v>14</v>
      </c>
      <c r="G31" s="9">
        <f>$B$39</f>
        <v>-121</v>
      </c>
      <c r="H31" s="9">
        <f t="shared" ref="H31:R31" si="17">$B$39</f>
        <v>-121</v>
      </c>
      <c r="I31" s="9">
        <f t="shared" si="17"/>
        <v>-121</v>
      </c>
      <c r="J31" s="9">
        <f t="shared" si="17"/>
        <v>-121</v>
      </c>
      <c r="K31" s="9">
        <f t="shared" si="17"/>
        <v>-121</v>
      </c>
      <c r="L31" s="9">
        <f t="shared" si="17"/>
        <v>-121</v>
      </c>
      <c r="M31" s="9">
        <f t="shared" si="17"/>
        <v>-121</v>
      </c>
      <c r="N31" s="9">
        <f t="shared" si="17"/>
        <v>-121</v>
      </c>
      <c r="O31" s="9">
        <f t="shared" si="17"/>
        <v>-121</v>
      </c>
      <c r="P31" s="9">
        <f t="shared" si="17"/>
        <v>-121</v>
      </c>
      <c r="Q31" s="9">
        <f t="shared" si="17"/>
        <v>-121</v>
      </c>
      <c r="R31" s="9">
        <f t="shared" si="17"/>
        <v>-121</v>
      </c>
    </row>
    <row r="32" spans="1:180" ht="14.65" thickBot="1" x14ac:dyDescent="0.5">
      <c r="A32" s="15" t="s">
        <v>18</v>
      </c>
      <c r="B32" s="40"/>
      <c r="F32" s="6" t="s">
        <v>15</v>
      </c>
      <c r="G32" s="9">
        <f>$B$40</f>
        <v>-44</v>
      </c>
      <c r="H32" s="9">
        <f t="shared" ref="H32:R32" si="18">$B$40</f>
        <v>-44</v>
      </c>
      <c r="I32" s="9">
        <f t="shared" si="18"/>
        <v>-44</v>
      </c>
      <c r="J32" s="9">
        <f t="shared" si="18"/>
        <v>-44</v>
      </c>
      <c r="K32" s="9">
        <f t="shared" si="18"/>
        <v>-44</v>
      </c>
      <c r="L32" s="9">
        <f t="shared" si="18"/>
        <v>-44</v>
      </c>
      <c r="M32" s="9">
        <f t="shared" si="18"/>
        <v>-44</v>
      </c>
      <c r="N32" s="9">
        <f t="shared" si="18"/>
        <v>-44</v>
      </c>
      <c r="O32" s="9">
        <f t="shared" si="18"/>
        <v>-44</v>
      </c>
      <c r="P32" s="9">
        <f t="shared" si="18"/>
        <v>-44</v>
      </c>
      <c r="Q32" s="9">
        <f t="shared" si="18"/>
        <v>-44</v>
      </c>
      <c r="R32" s="9">
        <f t="shared" si="18"/>
        <v>-44</v>
      </c>
    </row>
    <row r="33" spans="1:180" x14ac:dyDescent="0.45">
      <c r="F33" s="6" t="s">
        <v>17</v>
      </c>
      <c r="G33" s="9" t="str">
        <f>IF(G28=1,$B$41,"")</f>
        <v/>
      </c>
      <c r="H33" s="9" t="str">
        <f t="shared" ref="H33:R33" si="19">IF(H28=1,$B$41,"")</f>
        <v/>
      </c>
      <c r="I33" s="9" t="str">
        <f t="shared" si="19"/>
        <v/>
      </c>
      <c r="J33" s="9" t="str">
        <f t="shared" si="19"/>
        <v/>
      </c>
      <c r="K33" s="9">
        <f t="shared" si="19"/>
        <v>-51</v>
      </c>
      <c r="L33" s="9">
        <f t="shared" si="19"/>
        <v>-51</v>
      </c>
      <c r="M33" s="9">
        <f t="shared" si="19"/>
        <v>-51</v>
      </c>
      <c r="N33" s="9">
        <f t="shared" si="19"/>
        <v>-51</v>
      </c>
      <c r="O33" s="9">
        <f t="shared" si="19"/>
        <v>-51</v>
      </c>
      <c r="P33" s="9">
        <f t="shared" si="19"/>
        <v>-51</v>
      </c>
      <c r="Q33" s="9">
        <f t="shared" si="19"/>
        <v>-51</v>
      </c>
      <c r="R33" s="9">
        <f t="shared" si="19"/>
        <v>-51</v>
      </c>
    </row>
    <row r="34" spans="1:180" x14ac:dyDescent="0.45">
      <c r="F34" s="35" t="s">
        <v>48</v>
      </c>
      <c r="G34" s="35">
        <f>IF(G14=$B$43,1,"")</f>
        <v>1</v>
      </c>
      <c r="H34" s="35">
        <f>IF(H14=$B$43,1,IF(AND(G34=1,SUM($G$34:G34)&lt;$B$44),1,""))</f>
        <v>1</v>
      </c>
      <c r="I34" s="35">
        <f>IF(I14=$B$43,1,IF(AND(H34=1,SUM($G$34:H34)&lt;$B$44),1,""))</f>
        <v>1</v>
      </c>
      <c r="J34" s="35">
        <f>IF(J14=$B$43,1,IF(AND(I34=1,SUM($G$34:I34)&lt;$B$44),1,""))</f>
        <v>1</v>
      </c>
      <c r="K34" s="35" t="str">
        <f>IF(K14=$B$43,1,IF(AND(J34=1,SUM($G$34:J34)&lt;$B$44),1,""))</f>
        <v/>
      </c>
      <c r="L34" s="35" t="str">
        <f>IF(L14=$B$43,1,IF(AND(K34=1,SUM($G$34:K34)&lt;$B$44),1,""))</f>
        <v/>
      </c>
      <c r="M34" s="35" t="str">
        <f>IF(M14=$B$43,1,IF(AND(L34=1,SUM($G$34:L34)&lt;$B$44),1,""))</f>
        <v/>
      </c>
      <c r="N34" s="35" t="str">
        <f>IF(N14=$B$43,1,IF(AND(M34=1,SUM($G$34:M34)&lt;$B$44),1,""))</f>
        <v/>
      </c>
      <c r="O34" s="35" t="str">
        <f>IF(O14=$B$43,1,IF(AND(N34=1,SUM($G$34:N34)&lt;$B$44),1,""))</f>
        <v/>
      </c>
      <c r="P34" s="35" t="str">
        <f>IF(P14=$B$43,1,IF(AND(O34=1,SUM($G$34:O34)&lt;$B$44),1,""))</f>
        <v/>
      </c>
      <c r="Q34" s="35" t="str">
        <f>IF(Q14=$B$43,1,IF(AND(P34=1,SUM($G$34:P34)&lt;$B$44),1,""))</f>
        <v/>
      </c>
      <c r="R34" s="35" t="str">
        <f>IF(R14=$B$43,1,IF(AND(Q34=1,SUM($G$34:Q34)&lt;$B$44),1,""))</f>
        <v/>
      </c>
    </row>
    <row r="35" spans="1:180" x14ac:dyDescent="0.45">
      <c r="F35" s="6" t="s">
        <v>51</v>
      </c>
      <c r="G35" s="9">
        <f>IF(G34=1,$B$45/$B$44,"")</f>
        <v>-1000</v>
      </c>
      <c r="H35" s="9">
        <f t="shared" ref="H35:R35" si="20">IF(H34=1,$B$45/$B$44,"")</f>
        <v>-1000</v>
      </c>
      <c r="I35" s="9">
        <f t="shared" si="20"/>
        <v>-1000</v>
      </c>
      <c r="J35" s="9">
        <f t="shared" si="20"/>
        <v>-1000</v>
      </c>
      <c r="K35" s="9" t="str">
        <f t="shared" si="20"/>
        <v/>
      </c>
      <c r="L35" s="9" t="str">
        <f t="shared" si="20"/>
        <v/>
      </c>
      <c r="M35" s="9" t="str">
        <f t="shared" si="20"/>
        <v/>
      </c>
      <c r="N35" s="9" t="str">
        <f t="shared" si="20"/>
        <v/>
      </c>
      <c r="O35" s="9" t="str">
        <f t="shared" si="20"/>
        <v/>
      </c>
      <c r="P35" s="9" t="str">
        <f t="shared" si="20"/>
        <v/>
      </c>
      <c r="Q35" s="9" t="str">
        <f t="shared" si="20"/>
        <v/>
      </c>
      <c r="R35" s="9" t="str">
        <f t="shared" si="20"/>
        <v/>
      </c>
    </row>
    <row r="36" spans="1:180" x14ac:dyDescent="0.45">
      <c r="A36" s="9" t="s">
        <v>34</v>
      </c>
      <c r="B36" s="42" t="s">
        <v>4</v>
      </c>
      <c r="F36" s="35" t="s">
        <v>41</v>
      </c>
      <c r="G36" s="7">
        <f>IF(G14=$B$47,1,"")</f>
        <v>1</v>
      </c>
      <c r="H36" s="7">
        <f t="shared" ref="H36:R36" si="21">IF(G36=1,1,IF(H14=$B$47,1,""))</f>
        <v>1</v>
      </c>
      <c r="I36" s="7">
        <f t="shared" si="21"/>
        <v>1</v>
      </c>
      <c r="J36" s="7">
        <f t="shared" si="21"/>
        <v>1</v>
      </c>
      <c r="K36" s="7">
        <f t="shared" si="21"/>
        <v>1</v>
      </c>
      <c r="L36" s="7">
        <f t="shared" si="21"/>
        <v>1</v>
      </c>
      <c r="M36" s="7">
        <f t="shared" si="21"/>
        <v>1</v>
      </c>
      <c r="N36" s="7">
        <f t="shared" si="21"/>
        <v>1</v>
      </c>
      <c r="O36" s="7">
        <f t="shared" si="21"/>
        <v>1</v>
      </c>
      <c r="P36" s="7">
        <f t="shared" si="21"/>
        <v>1</v>
      </c>
      <c r="Q36" s="7">
        <f t="shared" si="21"/>
        <v>1</v>
      </c>
      <c r="R36" s="7">
        <f t="shared" si="21"/>
        <v>1</v>
      </c>
    </row>
    <row r="37" spans="1:180" s="1" customFormat="1" x14ac:dyDescent="0.45">
      <c r="A37" s="9" t="s">
        <v>13</v>
      </c>
      <c r="B37" s="42">
        <v>600</v>
      </c>
      <c r="C37"/>
      <c r="D37"/>
      <c r="E37"/>
      <c r="F37" s="6" t="s">
        <v>19</v>
      </c>
      <c r="G37" s="19">
        <f t="shared" ref="G37:R37" si="22">IF(G36=1,$B$48,"")</f>
        <v>-10</v>
      </c>
      <c r="H37" s="19">
        <f t="shared" si="22"/>
        <v>-10</v>
      </c>
      <c r="I37" s="19">
        <f t="shared" si="22"/>
        <v>-10</v>
      </c>
      <c r="J37" s="19">
        <f t="shared" si="22"/>
        <v>-10</v>
      </c>
      <c r="K37" s="19">
        <f t="shared" si="22"/>
        <v>-10</v>
      </c>
      <c r="L37" s="19">
        <f t="shared" si="22"/>
        <v>-10</v>
      </c>
      <c r="M37" s="19">
        <f t="shared" si="22"/>
        <v>-10</v>
      </c>
      <c r="N37" s="19">
        <f t="shared" si="22"/>
        <v>-10</v>
      </c>
      <c r="O37" s="19">
        <f t="shared" si="22"/>
        <v>-10</v>
      </c>
      <c r="P37" s="19">
        <f t="shared" si="22"/>
        <v>-10</v>
      </c>
      <c r="Q37" s="19">
        <f t="shared" si="22"/>
        <v>-10</v>
      </c>
      <c r="R37" s="19">
        <f t="shared" si="22"/>
        <v>-10</v>
      </c>
      <c r="S37"/>
      <c r="T37"/>
      <c r="U37"/>
      <c r="V37"/>
      <c r="W37"/>
      <c r="X37"/>
      <c r="Y37"/>
      <c r="Z37"/>
      <c r="AA37"/>
      <c r="AB37"/>
      <c r="AC37"/>
      <c r="AD37"/>
      <c r="AE37"/>
      <c r="AF37"/>
      <c r="AG37"/>
      <c r="AH37"/>
      <c r="AI37"/>
      <c r="AJ37"/>
      <c r="AK37"/>
      <c r="AL37"/>
      <c r="AM37"/>
      <c r="AN37"/>
      <c r="AO37"/>
      <c r="AP37"/>
      <c r="AQ37"/>
      <c r="AR37"/>
      <c r="AS37"/>
      <c r="AT37"/>
      <c r="AU37"/>
      <c r="AV37"/>
      <c r="AW37"/>
      <c r="AX37"/>
      <c r="AY37"/>
      <c r="AZ37"/>
      <c r="BA37"/>
      <c r="BB37"/>
      <c r="BC37"/>
      <c r="BD37"/>
      <c r="BE37"/>
      <c r="BF37"/>
      <c r="BG37"/>
      <c r="BH37"/>
      <c r="BI37"/>
      <c r="BJ37"/>
      <c r="BK37"/>
      <c r="BL37"/>
      <c r="BM37"/>
      <c r="BN37"/>
      <c r="BO37"/>
      <c r="BP37"/>
      <c r="BQ37"/>
      <c r="BR37"/>
      <c r="BS37"/>
      <c r="BT37"/>
      <c r="BU37"/>
      <c r="BV37"/>
      <c r="BW37"/>
      <c r="BX37"/>
      <c r="BY37"/>
      <c r="BZ37"/>
      <c r="CA37"/>
      <c r="CB37"/>
      <c r="CC37"/>
      <c r="CD37"/>
      <c r="CE37"/>
      <c r="CF37"/>
      <c r="CG37"/>
      <c r="CH37"/>
      <c r="CI37"/>
      <c r="CJ37"/>
      <c r="CK37"/>
      <c r="CL37"/>
      <c r="CM37"/>
      <c r="CN37"/>
      <c r="CO37"/>
      <c r="CP37"/>
      <c r="CQ37"/>
      <c r="CR37"/>
      <c r="CS37"/>
      <c r="CT37"/>
      <c r="CU37"/>
      <c r="CV37"/>
      <c r="CW37"/>
      <c r="CX37"/>
      <c r="CY37"/>
      <c r="CZ37"/>
      <c r="DA37"/>
      <c r="DB37"/>
      <c r="DC37"/>
      <c r="DD37"/>
      <c r="DE37"/>
      <c r="DF37"/>
      <c r="DG37"/>
      <c r="DH37"/>
      <c r="DI37"/>
      <c r="DJ37"/>
      <c r="DK37"/>
      <c r="DL37"/>
      <c r="DM37"/>
      <c r="DN37"/>
      <c r="DO37"/>
      <c r="DP37"/>
      <c r="DQ37"/>
      <c r="DR37"/>
      <c r="DS37"/>
      <c r="DT37"/>
      <c r="DU37"/>
      <c r="DV37"/>
      <c r="DW37"/>
      <c r="DX37"/>
      <c r="DY37"/>
      <c r="DZ37"/>
      <c r="EA37"/>
      <c r="EB37"/>
      <c r="EC37"/>
      <c r="ED37"/>
      <c r="EE37"/>
      <c r="EF37"/>
      <c r="EG37"/>
      <c r="EH37"/>
      <c r="EI37"/>
      <c r="EJ37"/>
      <c r="EK37"/>
      <c r="EL37"/>
      <c r="EM37"/>
      <c r="EN37"/>
      <c r="EO37"/>
      <c r="EP37"/>
      <c r="EQ37"/>
      <c r="ER37"/>
      <c r="ES37"/>
      <c r="ET37"/>
      <c r="EU37"/>
      <c r="EV37"/>
      <c r="EW37"/>
      <c r="EX37"/>
      <c r="EY37"/>
      <c r="EZ37"/>
      <c r="FA37"/>
      <c r="FB37"/>
      <c r="FC37"/>
      <c r="FD37"/>
      <c r="FE37"/>
      <c r="FF37"/>
      <c r="FG37"/>
      <c r="FH37"/>
      <c r="FI37"/>
      <c r="FJ37"/>
      <c r="FK37"/>
      <c r="FL37"/>
      <c r="FM37"/>
      <c r="FN37"/>
      <c r="FO37"/>
      <c r="FP37"/>
      <c r="FQ37"/>
      <c r="FR37"/>
      <c r="FS37"/>
      <c r="FT37"/>
      <c r="FU37"/>
      <c r="FV37"/>
      <c r="FW37"/>
      <c r="FX37"/>
    </row>
    <row r="38" spans="1:180" x14ac:dyDescent="0.45">
      <c r="A38" s="9" t="s">
        <v>16</v>
      </c>
      <c r="B38" s="42">
        <v>51</v>
      </c>
      <c r="F38" s="35" t="s">
        <v>40</v>
      </c>
      <c r="G38" s="7">
        <f>IF(G14=$B$50,1,"")</f>
        <v>1</v>
      </c>
      <c r="H38" s="7">
        <f t="shared" ref="H38:R38" si="23">IF(G36=1,1,IF(H14=$B$50,1,""))</f>
        <v>1</v>
      </c>
      <c r="I38" s="7">
        <f t="shared" si="23"/>
        <v>1</v>
      </c>
      <c r="J38" s="7">
        <f t="shared" si="23"/>
        <v>1</v>
      </c>
      <c r="K38" s="7">
        <f t="shared" si="23"/>
        <v>1</v>
      </c>
      <c r="L38" s="7">
        <f t="shared" si="23"/>
        <v>1</v>
      </c>
      <c r="M38" s="7">
        <f t="shared" si="23"/>
        <v>1</v>
      </c>
      <c r="N38" s="7">
        <f t="shared" si="23"/>
        <v>1</v>
      </c>
      <c r="O38" s="7">
        <f t="shared" si="23"/>
        <v>1</v>
      </c>
      <c r="P38" s="7">
        <f t="shared" si="23"/>
        <v>1</v>
      </c>
      <c r="Q38" s="7">
        <f t="shared" si="23"/>
        <v>1</v>
      </c>
      <c r="R38" s="7">
        <f t="shared" si="23"/>
        <v>1</v>
      </c>
    </row>
    <row r="39" spans="1:180" x14ac:dyDescent="0.45">
      <c r="A39" s="9" t="s">
        <v>14</v>
      </c>
      <c r="B39" s="42">
        <v>-121</v>
      </c>
      <c r="F39" s="6" t="s">
        <v>20</v>
      </c>
      <c r="G39" s="9">
        <f t="shared" ref="G39:R39" si="24">IF(G38=1,$B$51,"")</f>
        <v>-55</v>
      </c>
      <c r="H39" s="9">
        <f t="shared" si="24"/>
        <v>-55</v>
      </c>
      <c r="I39" s="9">
        <f t="shared" si="24"/>
        <v>-55</v>
      </c>
      <c r="J39" s="9">
        <f t="shared" si="24"/>
        <v>-55</v>
      </c>
      <c r="K39" s="9">
        <f t="shared" si="24"/>
        <v>-55</v>
      </c>
      <c r="L39" s="9">
        <f t="shared" si="24"/>
        <v>-55</v>
      </c>
      <c r="M39" s="9">
        <f t="shared" si="24"/>
        <v>-55</v>
      </c>
      <c r="N39" s="9">
        <f t="shared" si="24"/>
        <v>-55</v>
      </c>
      <c r="O39" s="9">
        <f t="shared" si="24"/>
        <v>-55</v>
      </c>
      <c r="P39" s="9">
        <f t="shared" si="24"/>
        <v>-55</v>
      </c>
      <c r="Q39" s="9">
        <f t="shared" si="24"/>
        <v>-55</v>
      </c>
      <c r="R39" s="9">
        <f t="shared" si="24"/>
        <v>-55</v>
      </c>
    </row>
    <row r="40" spans="1:180" x14ac:dyDescent="0.45">
      <c r="A40" s="9" t="s">
        <v>15</v>
      </c>
      <c r="B40" s="42">
        <v>-44</v>
      </c>
      <c r="F40" s="6" t="s">
        <v>21</v>
      </c>
      <c r="G40" s="9" t="str">
        <f t="shared" ref="G40:R40" si="25">IF(G14=$B$53,$B$54,"")</f>
        <v/>
      </c>
      <c r="H40" s="9" t="str">
        <f t="shared" si="25"/>
        <v/>
      </c>
      <c r="I40" s="9">
        <f t="shared" si="25"/>
        <v>-300</v>
      </c>
      <c r="J40" s="9" t="str">
        <f t="shared" si="25"/>
        <v/>
      </c>
      <c r="K40" s="9" t="str">
        <f t="shared" si="25"/>
        <v/>
      </c>
      <c r="L40" s="9" t="str">
        <f t="shared" si="25"/>
        <v/>
      </c>
      <c r="M40" s="9" t="str">
        <f t="shared" si="25"/>
        <v/>
      </c>
      <c r="N40" s="9" t="str">
        <f t="shared" si="25"/>
        <v/>
      </c>
      <c r="O40" s="9" t="str">
        <f t="shared" si="25"/>
        <v/>
      </c>
      <c r="P40" s="9" t="str">
        <f t="shared" si="25"/>
        <v/>
      </c>
      <c r="Q40" s="9" t="str">
        <f t="shared" si="25"/>
        <v/>
      </c>
      <c r="R40" s="9" t="str">
        <f t="shared" si="25"/>
        <v/>
      </c>
    </row>
    <row r="41" spans="1:180" x14ac:dyDescent="0.45">
      <c r="A41" s="9" t="s">
        <v>17</v>
      </c>
      <c r="B41" s="42">
        <v>-51</v>
      </c>
      <c r="F41" s="6" t="s">
        <v>22</v>
      </c>
      <c r="G41" s="9" t="str">
        <f t="shared" ref="G41:R41" si="26">IF(G14=$B$56,$B$57,"")</f>
        <v/>
      </c>
      <c r="H41" s="9" t="str">
        <f t="shared" si="26"/>
        <v/>
      </c>
      <c r="I41" s="9" t="str">
        <f t="shared" si="26"/>
        <v/>
      </c>
      <c r="J41" s="9" t="str">
        <f t="shared" si="26"/>
        <v/>
      </c>
      <c r="K41" s="9" t="str">
        <f t="shared" si="26"/>
        <v/>
      </c>
      <c r="L41" s="9" t="str">
        <f t="shared" si="26"/>
        <v/>
      </c>
      <c r="M41" s="9" t="str">
        <f t="shared" si="26"/>
        <v/>
      </c>
      <c r="N41" s="9" t="str">
        <f t="shared" si="26"/>
        <v/>
      </c>
      <c r="O41" s="9" t="str">
        <f t="shared" si="26"/>
        <v/>
      </c>
      <c r="P41" s="9">
        <f t="shared" si="26"/>
        <v>-440</v>
      </c>
      <c r="Q41" s="9" t="str">
        <f t="shared" si="26"/>
        <v/>
      </c>
      <c r="R41" s="9" t="str">
        <f t="shared" si="26"/>
        <v/>
      </c>
    </row>
    <row r="42" spans="1:180" ht="14.65" thickBot="1" x14ac:dyDescent="0.5">
      <c r="F42" s="6" t="s">
        <v>23</v>
      </c>
      <c r="G42" s="9"/>
      <c r="H42" s="9"/>
      <c r="I42" s="9">
        <f>B59</f>
        <v>-100</v>
      </c>
      <c r="J42" s="9"/>
      <c r="K42" s="9"/>
      <c r="L42" s="9">
        <f>B59</f>
        <v>-100</v>
      </c>
      <c r="M42" s="9"/>
      <c r="N42" s="9"/>
      <c r="O42" s="9">
        <f>B59</f>
        <v>-100</v>
      </c>
      <c r="P42" s="19"/>
      <c r="Q42" s="9"/>
      <c r="R42" s="9">
        <f>B59</f>
        <v>-100</v>
      </c>
    </row>
    <row r="43" spans="1:180" x14ac:dyDescent="0.45">
      <c r="A43" s="13" t="s">
        <v>48</v>
      </c>
      <c r="B43" s="16" t="s">
        <v>0</v>
      </c>
      <c r="F43" s="6" t="s">
        <v>46</v>
      </c>
      <c r="G43" s="9" t="str">
        <f t="shared" ref="G43:R43" si="27">IF(G14=$B$62,$B$63,"")</f>
        <v/>
      </c>
      <c r="H43" s="9" t="str">
        <f t="shared" si="27"/>
        <v/>
      </c>
      <c r="I43" s="9" t="str">
        <f t="shared" si="27"/>
        <v/>
      </c>
      <c r="J43" s="9" t="str">
        <f t="shared" si="27"/>
        <v/>
      </c>
      <c r="K43" s="9" t="str">
        <f t="shared" si="27"/>
        <v/>
      </c>
      <c r="L43" s="9" t="str">
        <f t="shared" si="27"/>
        <v/>
      </c>
      <c r="M43" s="9" t="str">
        <f t="shared" si="27"/>
        <v/>
      </c>
      <c r="N43" s="9" t="str">
        <f t="shared" si="27"/>
        <v/>
      </c>
      <c r="O43" s="9" t="str">
        <f t="shared" si="27"/>
        <v/>
      </c>
      <c r="P43" s="9">
        <f t="shared" si="27"/>
        <v>-200</v>
      </c>
      <c r="Q43" s="9" t="str">
        <f t="shared" si="27"/>
        <v/>
      </c>
      <c r="R43" s="9" t="str">
        <f t="shared" si="27"/>
        <v/>
      </c>
    </row>
    <row r="44" spans="1:180" s="4" customFormat="1" x14ac:dyDescent="0.45">
      <c r="A44" s="14" t="s">
        <v>50</v>
      </c>
      <c r="B44" s="39">
        <v>4</v>
      </c>
      <c r="C44"/>
      <c r="D44"/>
      <c r="E44"/>
      <c r="F44" s="6" t="s">
        <v>47</v>
      </c>
      <c r="G44" s="9" t="str">
        <f t="shared" ref="G44:R44" si="28">IF(G14=$B$65,$B$66,"")</f>
        <v/>
      </c>
      <c r="H44" s="9" t="str">
        <f t="shared" si="28"/>
        <v/>
      </c>
      <c r="I44" s="9" t="str">
        <f t="shared" si="28"/>
        <v/>
      </c>
      <c r="J44" s="9" t="str">
        <f t="shared" si="28"/>
        <v/>
      </c>
      <c r="K44" s="9" t="str">
        <f t="shared" si="28"/>
        <v/>
      </c>
      <c r="L44" s="9">
        <f t="shared" si="28"/>
        <v>270</v>
      </c>
      <c r="M44" s="9" t="str">
        <f t="shared" si="28"/>
        <v/>
      </c>
      <c r="N44" s="9" t="str">
        <f t="shared" si="28"/>
        <v/>
      </c>
      <c r="O44" s="9" t="str">
        <f t="shared" si="28"/>
        <v/>
      </c>
      <c r="P44" s="9" t="str">
        <f t="shared" si="28"/>
        <v/>
      </c>
      <c r="Q44" s="9" t="str">
        <f t="shared" si="28"/>
        <v/>
      </c>
      <c r="R44" s="9" t="str">
        <f t="shared" si="28"/>
        <v/>
      </c>
      <c r="S44"/>
      <c r="T44"/>
      <c r="U44"/>
      <c r="V44"/>
      <c r="W44"/>
      <c r="X44"/>
      <c r="Y44"/>
      <c r="Z44"/>
      <c r="AA44"/>
      <c r="AB44"/>
      <c r="AC44"/>
      <c r="AD44"/>
      <c r="AE44"/>
      <c r="AF44"/>
      <c r="AG44"/>
      <c r="AH44"/>
      <c r="AI44"/>
      <c r="AJ44"/>
      <c r="AK44"/>
      <c r="AL44"/>
      <c r="AM44"/>
      <c r="AN44"/>
      <c r="AO44"/>
      <c r="AP44"/>
      <c r="AQ44"/>
      <c r="AR44"/>
      <c r="AS44"/>
      <c r="AT44"/>
      <c r="AU44"/>
      <c r="AV44"/>
      <c r="AW44"/>
      <c r="AX44"/>
      <c r="AY44"/>
      <c r="AZ44"/>
      <c r="BA44"/>
      <c r="BB44"/>
      <c r="BC44"/>
      <c r="BD44"/>
      <c r="BE44"/>
      <c r="BF44"/>
      <c r="BG44"/>
      <c r="BH44"/>
      <c r="BI44"/>
      <c r="BJ44"/>
      <c r="BK44"/>
      <c r="BL44"/>
      <c r="BM44"/>
      <c r="BN44"/>
      <c r="BO44"/>
      <c r="BP44"/>
      <c r="BQ44"/>
      <c r="BR44"/>
      <c r="BS44"/>
      <c r="BT44"/>
      <c r="BU44"/>
      <c r="BV44"/>
      <c r="BW44"/>
      <c r="BX44"/>
      <c r="BY44"/>
      <c r="BZ44"/>
      <c r="CA44"/>
      <c r="CB44"/>
      <c r="CC44"/>
      <c r="CD44"/>
      <c r="CE44"/>
      <c r="CF44"/>
      <c r="CG44"/>
      <c r="CH44"/>
      <c r="CI44"/>
      <c r="CJ44"/>
      <c r="CK44"/>
      <c r="CL44"/>
      <c r="CM44"/>
      <c r="CN44"/>
      <c r="CO44"/>
      <c r="CP44"/>
      <c r="CQ44"/>
      <c r="CR44"/>
      <c r="CS44"/>
      <c r="CT44"/>
      <c r="CU44"/>
      <c r="CV44"/>
      <c r="CW44"/>
      <c r="CX44"/>
      <c r="CY44"/>
      <c r="CZ44"/>
      <c r="DA44"/>
      <c r="DB44"/>
      <c r="DC44"/>
      <c r="DD44"/>
      <c r="DE44"/>
      <c r="DF44"/>
      <c r="DG44"/>
      <c r="DH44"/>
      <c r="DI44"/>
      <c r="DJ44"/>
      <c r="DK44"/>
      <c r="DL44"/>
      <c r="DM44"/>
      <c r="DN44"/>
      <c r="DO44"/>
      <c r="DP44"/>
      <c r="DQ44"/>
      <c r="DR44"/>
      <c r="DS44"/>
      <c r="DT44"/>
      <c r="DU44"/>
      <c r="DV44"/>
      <c r="DW44"/>
      <c r="DX44"/>
      <c r="DY44"/>
      <c r="DZ44"/>
      <c r="EA44"/>
      <c r="EB44"/>
      <c r="EC44"/>
      <c r="ED44"/>
      <c r="EE44"/>
      <c r="EF44"/>
      <c r="EG44"/>
      <c r="EH44"/>
      <c r="EI44"/>
      <c r="EJ44"/>
      <c r="EK44"/>
      <c r="EL44"/>
      <c r="EM44"/>
      <c r="EN44"/>
      <c r="EO44"/>
      <c r="EP44"/>
      <c r="EQ44"/>
      <c r="ER44"/>
      <c r="ES44"/>
      <c r="ET44"/>
      <c r="EU44"/>
      <c r="EV44"/>
      <c r="EW44"/>
      <c r="EX44"/>
      <c r="EY44"/>
      <c r="EZ44"/>
      <c r="FA44"/>
      <c r="FB44"/>
      <c r="FC44"/>
      <c r="FD44"/>
      <c r="FE44"/>
      <c r="FF44"/>
      <c r="FG44"/>
      <c r="FH44"/>
      <c r="FI44"/>
      <c r="FJ44"/>
      <c r="FK44"/>
      <c r="FL44"/>
      <c r="FM44"/>
      <c r="FN44"/>
      <c r="FO44"/>
      <c r="FP44"/>
      <c r="FQ44"/>
      <c r="FR44"/>
      <c r="FS44"/>
      <c r="FT44"/>
      <c r="FU44"/>
      <c r="FV44"/>
      <c r="FW44"/>
      <c r="FX44"/>
    </row>
    <row r="45" spans="1:180" ht="14.65" thickBot="1" x14ac:dyDescent="0.5">
      <c r="A45" s="15" t="s">
        <v>18</v>
      </c>
      <c r="B45" s="40">
        <v>-4000</v>
      </c>
      <c r="F45" s="36" t="s">
        <v>29</v>
      </c>
      <c r="G45" s="19">
        <f t="shared" ref="G45:R45" si="29">SUM(G16:G21,G23:G27,G29:G35,G37,G39:G44)</f>
        <v>-1251</v>
      </c>
      <c r="H45" s="19">
        <f t="shared" si="29"/>
        <v>-1251</v>
      </c>
      <c r="I45" s="19">
        <f t="shared" si="29"/>
        <v>-1951</v>
      </c>
      <c r="J45" s="19">
        <f t="shared" si="29"/>
        <v>-851</v>
      </c>
      <c r="K45" s="19">
        <f t="shared" si="29"/>
        <v>748</v>
      </c>
      <c r="L45" s="19">
        <f t="shared" si="29"/>
        <v>918</v>
      </c>
      <c r="M45" s="19">
        <f t="shared" si="29"/>
        <v>748</v>
      </c>
      <c r="N45" s="19">
        <f t="shared" si="29"/>
        <v>748</v>
      </c>
      <c r="O45" s="19">
        <f t="shared" si="29"/>
        <v>648</v>
      </c>
      <c r="P45" s="19">
        <f t="shared" si="29"/>
        <v>108</v>
      </c>
      <c r="Q45" s="19">
        <f t="shared" si="29"/>
        <v>748</v>
      </c>
      <c r="R45" s="19">
        <f t="shared" si="29"/>
        <v>648</v>
      </c>
    </row>
    <row r="46" spans="1:180" ht="14.65" thickBot="1" x14ac:dyDescent="0.5"/>
    <row r="47" spans="1:180" x14ac:dyDescent="0.45">
      <c r="A47" s="13" t="s">
        <v>39</v>
      </c>
      <c r="B47" s="16" t="s">
        <v>0</v>
      </c>
    </row>
    <row r="48" spans="1:180" ht="14.65" thickBot="1" x14ac:dyDescent="0.5">
      <c r="A48" s="14" t="s">
        <v>19</v>
      </c>
      <c r="B48" s="39">
        <v>-10</v>
      </c>
      <c r="F48" s="25" t="s">
        <v>25</v>
      </c>
    </row>
    <row r="49" spans="1:19" ht="14.65" thickBot="1" x14ac:dyDescent="0.5">
      <c r="F49" s="26" t="s">
        <v>26</v>
      </c>
      <c r="G49" s="55">
        <f>B68</f>
        <v>2300</v>
      </c>
      <c r="H49" s="27"/>
      <c r="I49" s="27"/>
      <c r="J49" s="27"/>
      <c r="K49" s="27"/>
      <c r="L49" s="27"/>
      <c r="M49" s="27"/>
      <c r="N49" s="27"/>
      <c r="O49" s="27"/>
      <c r="P49" s="27"/>
      <c r="Q49" s="27"/>
      <c r="R49" s="27"/>
      <c r="S49" s="28"/>
    </row>
    <row r="50" spans="1:19" x14ac:dyDescent="0.45">
      <c r="A50" s="13" t="s">
        <v>40</v>
      </c>
      <c r="B50" s="43" t="s">
        <v>0</v>
      </c>
      <c r="F50" s="29" t="s">
        <v>49</v>
      </c>
      <c r="G50">
        <f>$G$49+SUM($G$45:G45)</f>
        <v>1049</v>
      </c>
      <c r="H50">
        <f>$G$49+SUM($G$45:H45)</f>
        <v>-202</v>
      </c>
      <c r="I50">
        <f>$G$49+SUM($G$45:I45)</f>
        <v>-2153</v>
      </c>
      <c r="J50">
        <f>$G$49+SUM($G$45:J45)</f>
        <v>-3004</v>
      </c>
      <c r="K50">
        <f>$G$49+SUM($G$45:K45)</f>
        <v>-2256</v>
      </c>
      <c r="L50">
        <f>$G$49+SUM($G$45:L45)</f>
        <v>-1338</v>
      </c>
      <c r="M50">
        <f>$G$49+SUM($G$45:M45)</f>
        <v>-590</v>
      </c>
      <c r="N50">
        <f>$G$49+SUM($G$45:N45)</f>
        <v>158</v>
      </c>
      <c r="O50">
        <f>$G$49+SUM($G$45:O45)</f>
        <v>806</v>
      </c>
      <c r="P50">
        <f>$G$49+SUM($G$45:P45)</f>
        <v>914</v>
      </c>
      <c r="Q50">
        <f>$G$49+SUM($G$45:Q45)</f>
        <v>1662</v>
      </c>
      <c r="R50">
        <f>$G$49+SUM($G$44:R44)</f>
        <v>2570</v>
      </c>
      <c r="S50" s="30"/>
    </row>
    <row r="51" spans="1:19" ht="14.65" thickBot="1" x14ac:dyDescent="0.5">
      <c r="A51" s="20" t="s">
        <v>20</v>
      </c>
      <c r="B51" s="40">
        <v>-55</v>
      </c>
      <c r="F51" s="29" t="s">
        <v>27</v>
      </c>
      <c r="G51">
        <f>IF((G45+G49)&lt;0,-SUM(G45,G49),0)</f>
        <v>0</v>
      </c>
      <c r="H51">
        <f t="shared" ref="H51:P51" si="30">IF((H45+G50)&lt;0,-SUM(H45,G50),0)</f>
        <v>202</v>
      </c>
      <c r="I51">
        <f t="shared" si="30"/>
        <v>2153</v>
      </c>
      <c r="J51">
        <f t="shared" si="30"/>
        <v>3004</v>
      </c>
      <c r="K51">
        <f t="shared" si="30"/>
        <v>2256</v>
      </c>
      <c r="L51">
        <f t="shared" si="30"/>
        <v>1338</v>
      </c>
      <c r="M51">
        <f t="shared" si="30"/>
        <v>590</v>
      </c>
      <c r="N51">
        <f t="shared" si="30"/>
        <v>0</v>
      </c>
      <c r="O51">
        <f t="shared" si="30"/>
        <v>0</v>
      </c>
      <c r="P51">
        <f t="shared" si="30"/>
        <v>0</v>
      </c>
      <c r="Q51">
        <f t="shared" ref="Q51:R51" si="31">IF((Q45+P50)&lt;0,-SUM(Q45,P50),0)</f>
        <v>0</v>
      </c>
      <c r="R51">
        <f t="shared" si="31"/>
        <v>0</v>
      </c>
      <c r="S51" s="30">
        <f>SUM(G51:R51)</f>
        <v>9543</v>
      </c>
    </row>
    <row r="52" spans="1:19" ht="14.65" thickBot="1" x14ac:dyDescent="0.5">
      <c r="F52" s="31" t="s">
        <v>28</v>
      </c>
      <c r="G52" s="32">
        <f>G50+SUM($G$51:G51)</f>
        <v>1049</v>
      </c>
      <c r="H52" s="32">
        <f>H50+SUM($G$51:H51)</f>
        <v>0</v>
      </c>
      <c r="I52" s="32">
        <f>I50+SUM($G$51:I51)</f>
        <v>202</v>
      </c>
      <c r="J52" s="32">
        <f>J50+SUM($G$51:J51)</f>
        <v>2355</v>
      </c>
      <c r="K52" s="32">
        <f>K50+SUM($G$51:K51)</f>
        <v>5359</v>
      </c>
      <c r="L52" s="32">
        <f>L50+SUM($G$51:L51)</f>
        <v>7615</v>
      </c>
      <c r="M52" s="32">
        <f>M50+SUM($G$51:M51)</f>
        <v>8953</v>
      </c>
      <c r="N52" s="32">
        <f>N50+SUM($G$51:N51)</f>
        <v>9701</v>
      </c>
      <c r="O52" s="32">
        <f>O50+SUM($G$51:O51)</f>
        <v>10349</v>
      </c>
      <c r="P52" s="32">
        <f>P50+SUM($G$51:P51)</f>
        <v>10457</v>
      </c>
      <c r="Q52" s="32">
        <f>Q50+SUM($G$51:Q51)</f>
        <v>11205</v>
      </c>
      <c r="R52" s="32">
        <f>R50+SUM($G$51:R51)</f>
        <v>12113</v>
      </c>
      <c r="S52" s="33"/>
    </row>
    <row r="53" spans="1:19" x14ac:dyDescent="0.45">
      <c r="A53" s="21" t="s">
        <v>38</v>
      </c>
      <c r="B53" s="43" t="s">
        <v>2</v>
      </c>
    </row>
    <row r="54" spans="1:19" ht="14.65" thickBot="1" x14ac:dyDescent="0.5">
      <c r="A54" s="20" t="s">
        <v>21</v>
      </c>
      <c r="B54" s="40">
        <v>-300</v>
      </c>
    </row>
    <row r="55" spans="1:19" ht="14.65" thickBot="1" x14ac:dyDescent="0.5"/>
    <row r="56" spans="1:19" x14ac:dyDescent="0.45">
      <c r="A56" s="21" t="s">
        <v>42</v>
      </c>
      <c r="B56" s="43" t="s">
        <v>9</v>
      </c>
    </row>
    <row r="57" spans="1:19" ht="14.65" thickBot="1" x14ac:dyDescent="0.5">
      <c r="A57" s="20" t="s">
        <v>22</v>
      </c>
      <c r="B57" s="40">
        <v>-440</v>
      </c>
    </row>
    <row r="58" spans="1:19" ht="14.65" thickBot="1" x14ac:dyDescent="0.5"/>
    <row r="59" spans="1:19" ht="14.65" thickBot="1" x14ac:dyDescent="0.5">
      <c r="A59" s="23" t="s">
        <v>23</v>
      </c>
      <c r="B59" s="44">
        <v>-100</v>
      </c>
    </row>
    <row r="61" spans="1:19" ht="14.65" thickBot="1" x14ac:dyDescent="0.5"/>
    <row r="62" spans="1:19" x14ac:dyDescent="0.45">
      <c r="A62" s="21" t="s">
        <v>43</v>
      </c>
      <c r="B62" s="43" t="s">
        <v>9</v>
      </c>
    </row>
    <row r="63" spans="1:19" ht="14.65" thickBot="1" x14ac:dyDescent="0.5">
      <c r="A63" s="20" t="s">
        <v>24</v>
      </c>
      <c r="B63" s="40">
        <v>-200</v>
      </c>
    </row>
    <row r="64" spans="1:19" ht="14.65" thickBot="1" x14ac:dyDescent="0.5"/>
    <row r="65" spans="1:2" x14ac:dyDescent="0.45">
      <c r="A65" s="24" t="s">
        <v>44</v>
      </c>
      <c r="B65" s="16" t="s">
        <v>5</v>
      </c>
    </row>
    <row r="66" spans="1:2" ht="14.65" thickBot="1" x14ac:dyDescent="0.5">
      <c r="A66" s="15" t="s">
        <v>45</v>
      </c>
      <c r="B66" s="40">
        <v>270</v>
      </c>
    </row>
    <row r="67" spans="1:2" ht="14.65" thickBot="1" x14ac:dyDescent="0.5"/>
    <row r="68" spans="1:2" ht="14.65" thickBot="1" x14ac:dyDescent="0.5">
      <c r="A68" s="56" t="s">
        <v>26</v>
      </c>
      <c r="B68" s="44">
        <v>2300</v>
      </c>
    </row>
  </sheetData>
  <scenarios current="0" show="0" sqref="S51">
    <scenario name="PESSIMISTIC" locked="1" count="6" user="Rafay Zeeshan" comment="Created by Rafay Zeeshan on 3/2/2023">
      <inputCells r="B15" val="February"/>
      <inputCells r="B16" val="300"/>
      <inputCells r="B27" val="April"/>
      <inputCells r="B28" val="440"/>
      <inputCells r="B36" val="June"/>
      <inputCells r="B37" val="600"/>
    </scenario>
    <scenario name="REALISTIC" locked="1" count="15" user="Rafay Zeeshan" comment="Created by Rafay Zeeshan on 3/2/2023">
      <inputCells r="B15" val="January"/>
      <inputCells r="B16" val="345"/>
      <inputCells r="B23" val="March"/>
      <inputCells r="B24" val="-800"/>
      <inputCells r="B27" val="March"/>
      <inputCells r="B28" val="440"/>
      <inputCells r="B36" val="May"/>
      <inputCells r="B37" val="650"/>
      <inputCells r="B43" val="January"/>
      <inputCells r="B44" val="4"/>
      <inputCells r="B45" val="-4000"/>
      <inputCells r="B56" val="December"/>
      <inputCells r="B57" val="-500"/>
      <inputCells r="B65" val="January"/>
      <inputCells r="B66" val="270"/>
    </scenario>
    <scenario name="OPTIMISTIC" locked="1" count="15" user="Rafay Zeeshan" comment="Created by Rafay Zeeshan on 3/2/2023">
      <inputCells r="B15" val="January"/>
      <inputCells r="B16" val="360"/>
      <inputCells r="B23" val="April"/>
      <inputCells r="B24" val="-700"/>
      <inputCells r="B27" val="February"/>
      <inputCells r="B28" val="480"/>
      <inputCells r="B36" val="April"/>
      <inputCells r="B37" val="650"/>
      <inputCells r="B43" val="January"/>
      <inputCells r="B44" val="4"/>
      <inputCells r="B45" val="-4000"/>
      <inputCells r="B56" val="December"/>
      <inputCells r="B57" val="-420"/>
      <inputCells r="B65" val="March"/>
      <inputCells r="B66" val="270"/>
    </scenario>
  </scenarios>
  <sortState xmlns:xlrd2="http://schemas.microsoft.com/office/spreadsheetml/2017/richdata2" ref="A2:A13">
    <sortCondition ref="A2:A13" customList="January,February,March,April,May,June,July,August,September,October,November,December"/>
  </sortState>
  <phoneticPr fontId="2" type="noConversion"/>
  <conditionalFormatting sqref="S22 G55:S55 G37:R37 G39:R44 G23:S25 G26:R27 S26:S45 G16:S21 G29:R33 G48:S52 G35:R35">
    <cfRule type="cellIs" dxfId="3" priority="3" operator="lessThan">
      <formula>0</formula>
    </cfRule>
    <cfRule type="cellIs" dxfId="2" priority="4" operator="greaterThan">
      <formula>0</formula>
    </cfRule>
  </conditionalFormatting>
  <conditionalFormatting sqref="G45:R45">
    <cfRule type="cellIs" dxfId="1" priority="1" operator="lessThan">
      <formula>0</formula>
    </cfRule>
    <cfRule type="cellIs" dxfId="0" priority="2" operator="greaterThan">
      <formula>0</formula>
    </cfRule>
  </conditionalFormatting>
  <dataValidations disablePrompts="1" count="1">
    <dataValidation type="list" allowBlank="1" showInputMessage="1" showErrorMessage="1" sqref="B23 B15 B27 B36 B47 B50 B53 B56 B62 B65 B43" xr:uid="{7692221E-9791-4B9B-98F5-29A6A74D4867}">
      <formula1>$B$2:$B$13</formula1>
    </dataValidation>
  </dataValidations>
  <pageMargins left="0.7" right="0.7" top="0.75" bottom="0.75" header="0.3" footer="0.3"/>
  <pageSetup orientation="portrait" r:id="rId1"/>
  <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0DC1F31-CEB2-4145-AB79-08F0D6AD8479}">
  <sheetPr codeName="Sheet5"/>
  <dimension ref="C3:E4"/>
  <sheetViews>
    <sheetView view="pageBreakPreview" topLeftCell="A7" zoomScale="60" zoomScaleNormal="63" workbookViewId="0">
      <selection activeCell="O56" sqref="O56"/>
    </sheetView>
  </sheetViews>
  <sheetFormatPr defaultRowHeight="14.25" x14ac:dyDescent="0.45"/>
  <cols>
    <col min="1" max="9" width="9.06640625" style="75"/>
    <col min="10" max="10" width="30.33203125" style="75" bestFit="1" customWidth="1"/>
    <col min="11" max="16384" width="9.06640625" style="75"/>
  </cols>
  <sheetData>
    <row r="3" spans="3:5" x14ac:dyDescent="0.45">
      <c r="C3" s="79" t="s">
        <v>131</v>
      </c>
      <c r="D3" s="79"/>
      <c r="E3" s="79"/>
    </row>
    <row r="4" spans="3:5" x14ac:dyDescent="0.45">
      <c r="C4" s="79"/>
      <c r="D4" s="79"/>
      <c r="E4" s="79"/>
    </row>
  </sheetData>
  <mergeCells count="1">
    <mergeCell ref="C3:E4"/>
  </mergeCells>
  <pageMargins left="0.7" right="0.7" top="0.75" bottom="0.75" header="0.3" footer="0.3"/>
  <pageSetup scale="57" orientation="portrait" r:id="rId1"/>
  <drawing r:id="rId2"/>
  <legacyDrawing r:id="rId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82</vt:i4>
      </vt:variant>
    </vt:vector>
  </HeadingPairs>
  <TitlesOfParts>
    <vt:vector size="88" baseType="lpstr">
      <vt:lpstr>EXCEL_SCENARIOS</vt:lpstr>
      <vt:lpstr>SCENARIO RIBBON</vt:lpstr>
      <vt:lpstr>BREAKEVEN REPORT</vt:lpstr>
      <vt:lpstr>BREAKEVEN ANALYSIS</vt:lpstr>
      <vt:lpstr>ORIGINAL</vt:lpstr>
      <vt:lpstr>report</vt:lpstr>
      <vt:lpstr>'BREAKEVEN ANALYSIS'!APT1START</vt:lpstr>
      <vt:lpstr>'SCENARIO RIBBON'!APT1START</vt:lpstr>
      <vt:lpstr>APT1START</vt:lpstr>
      <vt:lpstr>'BREAKEVEN ANALYSIS'!APT2START</vt:lpstr>
      <vt:lpstr>'SCENARIO RIBBON'!APT2START</vt:lpstr>
      <vt:lpstr>APT2START</vt:lpstr>
      <vt:lpstr>'BREAKEVEN ANALYSIS'!APT3START</vt:lpstr>
      <vt:lpstr>'SCENARIO RIBBON'!APT3START</vt:lpstr>
      <vt:lpstr>APT3START</vt:lpstr>
      <vt:lpstr>'BREAKEVEN ANALYSIS'!BANKC</vt:lpstr>
      <vt:lpstr>'SCENARIO RIBBON'!BANKC</vt:lpstr>
      <vt:lpstr>BANKC</vt:lpstr>
      <vt:lpstr>'BREAKEVEN ANALYSIS'!BANKC1</vt:lpstr>
      <vt:lpstr>'SCENARIO RIBBON'!BANKC1</vt:lpstr>
      <vt:lpstr>BANKC1</vt:lpstr>
      <vt:lpstr>'BREAKEVEN ANALYSIS'!BCTIME</vt:lpstr>
      <vt:lpstr>'SCENARIO RIBBON'!BCTIME</vt:lpstr>
      <vt:lpstr>BCTIME</vt:lpstr>
      <vt:lpstr>'BREAKEVEN ANALYSIS'!BKCOST</vt:lpstr>
      <vt:lpstr>'SCENARIO RIBBON'!BKCOST</vt:lpstr>
      <vt:lpstr>BKCOST</vt:lpstr>
      <vt:lpstr>'BREAKEVEN ANALYSIS'!BKTIME</vt:lpstr>
      <vt:lpstr>'SCENARIO RIBBON'!BKTIME</vt:lpstr>
      <vt:lpstr>BKTIME</vt:lpstr>
      <vt:lpstr>'BREAKEVEN ANALYSIS'!INSUR</vt:lpstr>
      <vt:lpstr>'SCENARIO RIBBON'!INSUR</vt:lpstr>
      <vt:lpstr>INSUR</vt:lpstr>
      <vt:lpstr>'BREAKEVEN ANALYSIS'!INSURTIME</vt:lpstr>
      <vt:lpstr>'SCENARIO RIBBON'!INSURTIME</vt:lpstr>
      <vt:lpstr>INSURTIME</vt:lpstr>
      <vt:lpstr>'BREAKEVEN ANALYSIS'!MAINT1</vt:lpstr>
      <vt:lpstr>'SCENARIO RIBBON'!MAINT1</vt:lpstr>
      <vt:lpstr>MAINT1</vt:lpstr>
      <vt:lpstr>'BREAKEVEN ANALYSIS'!MAINT3</vt:lpstr>
      <vt:lpstr>'SCENARIO RIBBON'!MAINT3</vt:lpstr>
      <vt:lpstr>MAINT3</vt:lpstr>
      <vt:lpstr>'BREAKEVEN ANALYSIS'!MAINTSTART</vt:lpstr>
      <vt:lpstr>'SCENARIO RIBBON'!MAINTSTART</vt:lpstr>
      <vt:lpstr>MAINTSTART</vt:lpstr>
      <vt:lpstr>'BREAKEVEN ANALYSIS'!MIANTTIME3</vt:lpstr>
      <vt:lpstr>'SCENARIO RIBBON'!MIANTTIME3</vt:lpstr>
      <vt:lpstr>MIANTTIME3</vt:lpstr>
      <vt:lpstr>'BREAKEVEN ANALYSIS'!MISC</vt:lpstr>
      <vt:lpstr>'SCENARIO RIBBON'!MISC</vt:lpstr>
      <vt:lpstr>MISC</vt:lpstr>
      <vt:lpstr>'BREAKEVEN ANALYSIS'!MISC1</vt:lpstr>
      <vt:lpstr>'SCENARIO RIBBON'!MISC1</vt:lpstr>
      <vt:lpstr>MISC1</vt:lpstr>
      <vt:lpstr>'BREAKEVEN ANALYSIS'!MISCTIME</vt:lpstr>
      <vt:lpstr>'SCENARIO RIBBON'!MISCTIME</vt:lpstr>
      <vt:lpstr>MISCTIME</vt:lpstr>
      <vt:lpstr>report!Print_Area</vt:lpstr>
      <vt:lpstr>'BREAKEVEN ANALYSIS'!QMISC</vt:lpstr>
      <vt:lpstr>'SCENARIO RIBBON'!QMISC</vt:lpstr>
      <vt:lpstr>QMISC</vt:lpstr>
      <vt:lpstr>'BREAKEVEN ANALYSIS'!RCVTIME</vt:lpstr>
      <vt:lpstr>'SCENARIO RIBBON'!RCVTIME</vt:lpstr>
      <vt:lpstr>RCVTIME</vt:lpstr>
      <vt:lpstr>'BREAKEVEN ANALYSIS'!RENT1</vt:lpstr>
      <vt:lpstr>'SCENARIO RIBBON'!RENT1</vt:lpstr>
      <vt:lpstr>RENT1</vt:lpstr>
      <vt:lpstr>'BREAKEVEN ANALYSIS'!RENT2</vt:lpstr>
      <vt:lpstr>'SCENARIO RIBBON'!RENT2</vt:lpstr>
      <vt:lpstr>RENT2</vt:lpstr>
      <vt:lpstr>'BREAKEVEN ANALYSIS'!RENT3</vt:lpstr>
      <vt:lpstr>'SCENARIO RIBBON'!RENT3</vt:lpstr>
      <vt:lpstr>RENT3</vt:lpstr>
      <vt:lpstr>'BREAKEVEN ANALYSIS'!RENTRCVD</vt:lpstr>
      <vt:lpstr>'SCENARIO RIBBON'!RENTRCVD</vt:lpstr>
      <vt:lpstr>RENTRCVD</vt:lpstr>
      <vt:lpstr>'BREAKEVEN ANALYSIS'!SC</vt:lpstr>
      <vt:lpstr>'SCENARIO RIBBON'!SC</vt:lpstr>
      <vt:lpstr>SC</vt:lpstr>
      <vt:lpstr>'BREAKEVEN ANALYSIS'!TAX</vt:lpstr>
      <vt:lpstr>'SCENARIO RIBBON'!TAX</vt:lpstr>
      <vt:lpstr>TAX</vt:lpstr>
      <vt:lpstr>'BREAKEVEN ANALYSIS'!TAXTIME</vt:lpstr>
      <vt:lpstr>'SCENARIO RIBBON'!TAXTIME</vt:lpstr>
      <vt:lpstr>TAXTIME</vt:lpstr>
      <vt:lpstr>'BREAKEVEN ANALYSIS'!TOTAL_INSERTED</vt:lpstr>
      <vt:lpstr>'SCENARIO RIBBON'!TOTAL_INSERTED</vt:lpstr>
      <vt:lpstr>TOTAL_INSERTED</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Rafay Zeeshan</dc:creator>
  <cp:lastModifiedBy>Rafay Zeeshan</cp:lastModifiedBy>
  <cp:lastPrinted>2023-03-05T10:57:16Z</cp:lastPrinted>
  <dcterms:created xsi:type="dcterms:W3CDTF">2023-02-24T14:46:26Z</dcterms:created>
  <dcterms:modified xsi:type="dcterms:W3CDTF">2023-03-05T10:59:20Z</dcterms:modified>
</cp:coreProperties>
</file>